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f877045f444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finitions" sheetId="1" r:id="R1f770a1d5ac44069"/>
    <x:sheet xmlns:r="http://schemas.openxmlformats.org/officeDocument/2006/relationships" name="Master_Extraction" sheetId="2" r:id="R40d1366dd08b4dca"/>
    <x:sheet xmlns:r="http://schemas.openxmlformats.org/officeDocument/2006/relationships" name="Dashboard" sheetId="3" r:id="R5f566278a2aa44e8"/>
    <x:sheet xmlns:r="http://schemas.openxmlformats.org/officeDocument/2006/relationships" name="Cohort_Reuse" sheetId="4" r:id="R0df6638e82ec46ce"/>
    <x:sheet xmlns:r="http://schemas.openxmlformats.org/officeDocument/2006/relationships" name="Source_Audit" sheetId="5" r:id="Rb62a6ace4a894d4c"/>
    <x:sheet xmlns:r="http://schemas.openxmlformats.org/officeDocument/2006/relationships" name="Slide_Metrics" sheetId="6" r:id="R7ca563e8e728493b"/>
    <x:sheet xmlns:r="http://schemas.openxmlformats.org/officeDocument/2006/relationships" name="Core_Clinical_Dashboard" sheetId="7" r:id="R5ab80d7bb1ef4262"/>
    <x:sheet xmlns:r="http://schemas.openxmlformats.org/officeDocument/2006/relationships" name="Core_Slide_Metrics" sheetId="8" r:id="Re112feaabc4a480b"/>
    <x:sheet xmlns:r="http://schemas.openxmlformats.org/officeDocument/2006/relationships" name="Core_Clinical_Index" sheetId="9" r:id="Rd44d9491f9884f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9C0006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A61C00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1" fillId="7" borderId="0" xfId="0" applyNumberFormat="1" applyFont="1" applyFill="1" applyBorder="1"/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</x:cellXfs>
  <x:cellStyles count="1">
    <x:cellStyle name="Normal" xfId="0"/>
  </x:cellStyles>
  <x:dxfs count="11">
    <x:dxf>
      <x:font>
        <x:b/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4d79ac1987497a" /><Relationship Type="http://schemas.openxmlformats.org/officeDocument/2006/relationships/theme" Target="/xl/theme/theme1.xml" Id="Rcb7fef4632e24b7b" /><Relationship Type="http://schemas.openxmlformats.org/officeDocument/2006/relationships/sharedStrings" Target="/xl/sharedStrings.xml" Id="R277f76b6195945e4" /><Relationship Type="http://schemas.openxmlformats.org/officeDocument/2006/relationships/worksheet" Target="/xl/worksheets/sheet1.xml" Id="R1f770a1d5ac44069" /><Relationship Type="http://schemas.openxmlformats.org/officeDocument/2006/relationships/worksheet" Target="/xl/worksheets/sheet2.xml" Id="R40d1366dd08b4dca" /><Relationship Type="http://schemas.openxmlformats.org/officeDocument/2006/relationships/worksheet" Target="/xl/worksheets/sheet3.xml" Id="R5f566278a2aa44e8" /><Relationship Type="http://schemas.openxmlformats.org/officeDocument/2006/relationships/worksheet" Target="/xl/worksheets/sheet4.xml" Id="R0df6638e82ec46ce" /><Relationship Type="http://schemas.openxmlformats.org/officeDocument/2006/relationships/worksheet" Target="/xl/worksheets/sheet5.xml" Id="Rb62a6ace4a894d4c" /><Relationship Type="http://schemas.openxmlformats.org/officeDocument/2006/relationships/worksheet" Target="/xl/worksheets/sheet6.xml" Id="R7ca563e8e728493b" /><Relationship Type="http://schemas.openxmlformats.org/officeDocument/2006/relationships/worksheet" Target="/xl/worksheets/sheet7.xml" Id="R5ab80d7bb1ef4262" /><Relationship Type="http://schemas.openxmlformats.org/officeDocument/2006/relationships/worksheet" Target="/xl/worksheets/sheet8.xml" Id="Re112feaabc4a480b" /><Relationship Type="http://schemas.openxmlformats.org/officeDocument/2006/relationships/worksheet" Target="/xl/worksheets/sheet9.xml" Id="Rd44d9491f9884f96" /></Relationships>
</file>

<file path=xl/tables/table1.xml><?xml version="1.0" encoding="utf-8"?>
<x:table xmlns:x="http://schemas.openxmlformats.org/spreadsheetml/2006/main" id="1" name="MasterExtractionTable" displayName="MasterExtractionTable" ref="A1:AQ36" headerRowCount="1" totalsRowCount="0" totalsRowShown="0">
  <x:tableColumns count="43">
    <x:tableColumn id="1" name="Study_ID"/>
    <x:tableColumn id="2" name="Author"/>
    <x:tableColumn id="3" name="Year"/>
    <x:tableColumn id="4" name="Title"/>
    <x:tableColumn id="5" name="Journal"/>
    <x:tableColumn id="6" name="DOI"/>
    <x:tableColumn id="7" name="Scope"/>
    <x:tableColumn id="8" name="Clinical_domain"/>
    <x:tableColumn id="9" name="US_modality_frequency"/>
    <x:tableColumn id="10" name="Device"/>
    <x:tableColumn id="11" name="Patients"/>
    <x:tableColumn id="12" name="Lesions"/>
    <x:tableColumn id="13" name="Images"/>
    <x:tableColumn id="14" name="Design"/>
    <x:tableColumn id="15" name="Centers_n"/>
    <x:tableColumn id="16" name="Countries_n"/>
    <x:tableColumn id="17" name="Multisite_Data"/>
    <x:tableColumn id="18" name="Task"/>
    <x:tableColumn id="19" name="Model"/>
    <x:tableColumn id="20" name="Ground_truth"/>
    <x:tableColumn id="21" name="Validation_strategy"/>
    <x:tableColumn id="22" name="Internal_validation"/>
    <x:tableColumn id="23" name="External_image_set_test"/>
    <x:tableColumn id="24" name="Cross_center_device_technical_validation"/>
    <x:tableColumn id="25" name="Strict_external_clinical_validation"/>
    <x:tableColumn id="26" name="Prospective_multicentre_validation"/>
    <x:tableColumn id="27" name="Human_comparator"/>
    <x:tableColumn id="28" name="Public_code_repo"/>
    <x:tableColumn id="29" name="Repo_status"/>
    <x:tableColumn id="30" name="Study_specific_weights_public"/>
    <x:tableColumn id="31" name="Study_specific_full_data_public"/>
    <x:tableColumn id="32" name="Related_pretraining_data_public"/>
    <x:tableColumn id="33" name="Data_on_request"/>
    <x:tableColumn id="34" name="Dataset_reuse_cluster"/>
    <x:tableColumn id="35" name="Independent_new_cohort"/>
    <x:tableColumn id="36" name="Point_of_care_workflow"/>
    <x:tableColumn id="37" name="Routine_clinical_deployment"/>
    <x:tableColumn id="38" name="Primary_performance"/>
    <x:tableColumn id="39" name="Limitations_notes"/>
    <x:tableColumn id="40" name="Primary_source_URL"/>
    <x:tableColumn id="41" name="Code_URL"/>
    <x:tableColumn id="42" name="Data_URL"/>
    <x:tableColumn id="43" name="Extraction_conf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hortReuseAuditTable" displayName="CohortReuseAuditTable" ref="A1:I8" headerRowCount="1" totalsRowCount="0" totalsRowShown="0">
  <x:tableColumns count="9">
    <x:tableColumn id="1" name="Cluster"/>
    <x:tableColumn id="2" name="Status"/>
    <x:tableColumn id="3" name="Publications"/>
    <x:tableColumn id="4" name="Relationship"/>
    <x:tableColumn id="5" name="Source dataset / evidence"/>
    <x:tableColumn id="6" name="Independent cohorts represented"/>
    <x:tableColumn id="7" name="Counted in confirmed reuse metric?"/>
    <x:tableColumn id="8" name="Implication"/>
    <x:tableColumn id="9" name="Eviden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AuditTable" displayName="SourceAuditTable" ref="A1:H36" headerRowCount="1" totalsRowCount="0" totalsRowShown="0">
  <x:tableColumns count="8">
    <x:tableColumn id="1" name="Study_ID"/>
    <x:tableColumn id="2" name="Study"/>
    <x:tableColumn id="3" name="Primary source"/>
    <x:tableColumn id="4" name="Code source"/>
    <x:tableColumn id="5" name="Data source"/>
    <x:tableColumn id="6" name="What was verified"/>
    <x:tableColumn id="7" name="Confidence"/>
    <x:tableColumn id="8" name="Audit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1185c5776945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a23f7527acd44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447815071944474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4" hidden="0" customWidth="1"/>
    <x:col min="3" max="3" width="72" hidden="0" customWidth="1"/>
    <x:col min="4" max="4" width="8" hidden="0" customWidth="1"/>
  </x:cols>
  <x:sheetData>
    <x:row r="1">
      <x:c r="A1" s="3" t="str">
        <x:v>Operational definitions used in the evidence map</x:v>
      </x:c>
      <x:c r="B1" s="3"/>
      <x:c r="C1" s="3"/>
      <x:c r="D1" s="3"/>
    </x:row>
    <x:row r="3">
      <x:c r="A3" s="8" t="str">
        <x:v>Primary corpus</x:v>
      </x:c>
      <x:c r="B3" s="9" t="str">
        <x:v>Original peer-reviewed human dermatologic/cutaneous study in which ultrasound/HFUS/UHFUS is an actual input to an AI/ML/DL model.</x:v>
      </x:c>
      <x:c r="C3" s="9" t="str">
        <x:v>Nomogram-only conventional logistic-regression studies are excluded from the primary AI denominator.</x:v>
      </x:c>
      <x:c r="D3" t="str"/>
    </x:row>
    <x:row r="4">
      <x:c r="A4" s="8" t="str">
        <x:v>Internal validation</x:v>
      </x:c>
      <x:c r="B4" s="9" t="str">
        <x:v>Random/stratified split, cross-validation, or holdout derived from the same institution/cohort/data source.</x:v>
      </x:c>
      <x:c r="C4" s="9" t="str">
        <x:v>Does not establish transportability across independent clinical settings.</x:v>
      </x:c>
      <x:c r="D4" t="str"/>
    </x:row>
    <x:row r="5">
      <x:c r="A5" s="8" t="str">
        <x:v>External image-set test</x:v>
      </x:c>
      <x:c r="B5" s="9" t="str">
        <x:v>Evaluation on an image set outside the development split, but not necessarily a prospectively acquired independent clinical cohort.</x:v>
      </x:c>
      <x:c r="C5" s="9" t="str">
        <x:v>Example: Lee 2021 used open-access published ultrasound images.</x:v>
      </x:c>
      <x:c r="D5" t="str"/>
    </x:row>
    <x:row r="6">
      <x:c r="A6" s="8" t="str">
        <x:v>Cross-center/device technical validation</x:v>
      </x:c>
      <x:c r="B6" s="9" t="str">
        <x:v>Technical model evaluation across different machines/datasets/centres, mainly segmentation/measurement rather than independent clinical diagnostic validation.</x:v>
      </x:c>
      <x:c r="C6" s="9" t="str">
        <x:v>Example: Slian 2025 skin-layer segmentation.</x:v>
      </x:c>
      <x:c r="D6" t="str"/>
    </x:row>
    <x:row r="7">
      <x:c r="A7" s="8" t="str">
        <x:v>Strict external clinical validation</x:v>
      </x:c>
      <x:c r="B7" s="9" t="str">
        <x:v>Independent patient cohort from different centre(s), held out from development, evaluating the same clinical task.</x:v>
      </x:c>
      <x:c r="C7" s="9" t="str">
        <x:v>This is the translational validation metric used for the main slide.</x:v>
      </x:c>
      <x:c r="D7" t="str"/>
    </x:row>
    <x:row r="8">
      <x:c r="A8" s="8" t="str">
        <x:v>Prospective multicentre validation</x:v>
      </x:c>
      <x:c r="B8" s="9" t="str">
        <x:v>Prospectively enrolled/tested independent clinical cohort across &gt;1 centre after model development.</x:v>
      </x:c>
      <x:c r="C8" s="9" t="str">
        <x:v>Zhu 2024 satisfies this definition.</x:v>
      </x:c>
      <x:c r="D8" t="str"/>
    </x:row>
    <x:row r="9">
      <x:c r="A9" s="8" t="str">
        <x:v>Public code/repository</x:v>
      </x:c>
      <x:c r="B9" s="9" t="str">
        <x:v>A public study-specific repository is identifiable.</x:v>
      </x:c>
      <x:c r="C9" s="9" t="str">
        <x:v>An incomplete repository still counts as a repository, but not as full reproducibility.</x:v>
      </x:c>
      <x:c r="D9" t="str"/>
    </x:row>
    <x:row r="10">
      <x:c r="A10" s="8" t="str">
        <x:v>Complete open reproducibility package</x:v>
      </x:c>
      <x:c r="B10" s="9" t="str">
        <x:v>Public study-specific code + public study-specific trained weights/model + public evaluation data.</x:v>
      </x:c>
      <x:c r="C10" s="9" t="str">
        <x:v>Pretrained backbone/framework weights do not count as study-specific weights.</x:v>
      </x:c>
      <x:c r="D10" t="str"/>
    </x:row>
    <x:row r="11">
      <x:c r="A11" s="8" t="str">
        <x:v>Study-specific full data public</x:v>
      </x:c>
      <x:c r="B11" s="9" t="str">
        <x:v>The full study analysis dataset is openly accessible.</x:v>
      </x:c>
      <x:c r="C11" s="9" t="str">
        <x:v>Partial/pretraining/related datasets are tracked separately.</x:v>
      </x:c>
      <x:c r="D11" t="str"/>
    </x:row>
    <x:row r="12">
      <x:c r="A12" s="8" t="str">
        <x:v>Confirmed dataset reuse cluster</x:v>
      </x:c>
      <x:c r="B12" s="9" t="str">
        <x:v>Direct evidence that ≥2 publications use the same source dataset or an explicitly expanded version of it.</x:v>
      </x:c>
      <x:c r="C12" s="9" t="str">
        <x:v>Possible author/institutional lineage alone is not counted as confirmed reuse.</x:v>
      </x:c>
      <x:c r="D12" t="str"/>
    </x:row>
    <x:row r="13">
      <x:c r="A13" s="8" t="str">
        <x:v>Point-of-care workflow</x:v>
      </x:c>
      <x:c r="B13" s="9" t="str">
        <x:v>AI is integrated into a real-time or near-real-time clinical ultrasound workflow in the published study.</x:v>
      </x:c>
      <x:c r="C13" s="9" t="str">
        <x:v>This is not equivalent to routine deployment.</x:v>
      </x:c>
      <x:c r="D13" t="str"/>
    </x:row>
    <x:row r="14">
      <x:c r="A14" s="8" t="str">
        <x:v>Routine clinical deployment</x:v>
      </x:c>
      <x:c r="B14" s="9" t="str">
        <x:v>Published evidence that the exact AI system is used in routine care beyond a research evaluation/workflow demonstration.</x:v>
      </x:c>
      <x:c r="C14" s="9" t="str">
        <x:v>No study in the current corpus meets this definition.</x:v>
      </x:c>
      <x:c r="D14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8" hidden="0" customWidth="1"/>
    <x:col min="4" max="4" width="64" hidden="0" customWidth="1"/>
    <x:col min="5" max="5" width="28" hidden="0" customWidth="1"/>
    <x:col min="6" max="6" width="26" hidden="0" customWidth="1"/>
    <x:col min="7" max="7" width="20" hidden="0" customWidth="1"/>
    <x:col min="8" max="8" width="30" hidden="0" customWidth="1"/>
    <x:col min="9" max="9" width="34" hidden="0" customWidth="1"/>
    <x:col min="10" max="10" width="32" hidden="0" customWidth="1"/>
    <x:col min="11" max="11" width="16" hidden="0" customWidth="1"/>
    <x:col min="12" max="12" width="18" hidden="0" customWidth="1"/>
    <x:col min="13" max="13" width="30" hidden="0" customWidth="1"/>
    <x:col min="14" max="14" width="34" hidden="0" customWidth="1"/>
    <x:col min="15" max="15" width="12" hidden="0" customWidth="1"/>
    <x:col min="16" max="16" width="12" hidden="0" customWidth="1"/>
    <x:col min="17" max="17" width="14" hidden="0" customWidth="1"/>
    <x:col min="18" max="18" width="34" hidden="0" customWidth="1"/>
    <x:col min="19" max="19" width="46" hidden="0" customWidth="1"/>
    <x:col min="20" max="20" width="40" hidden="0" customWidth="1"/>
    <x:col min="21" max="21" width="56" hidden="0" customWidth="1"/>
    <x:col min="22" max="22" width="16" hidden="0" customWidth="1"/>
    <x:col min="23" max="23" width="24" hidden="0" customWidth="1"/>
    <x:col min="24" max="24" width="30" hidden="0" customWidth="1"/>
    <x:col min="25" max="25" width="24" hidden="0" customWidth="1"/>
    <x:col min="26" max="26" width="24" hidden="0" customWidth="1"/>
    <x:col min="27" max="27" width="18" hidden="0" customWidth="1"/>
    <x:col min="28" max="28" width="18" hidden="0" customWidth="1"/>
    <x:col min="29" max="29" width="54" hidden="0" customWidth="1"/>
    <x:col min="30" max="30" width="24" hidden="0" customWidth="1"/>
    <x:col min="31" max="31" width="26" hidden="0" customWidth="1"/>
    <x:col min="32" max="32" width="28" hidden="0" customWidth="1"/>
    <x:col min="33" max="33" width="18" hidden="0" customWidth="1"/>
    <x:col min="34" max="34" width="24" hidden="0" customWidth="1"/>
    <x:col min="35" max="35" width="22" hidden="0" customWidth="1"/>
    <x:col min="36" max="36" width="20" hidden="0" customWidth="1"/>
    <x:col min="37" max="37" width="22" hidden="0" customWidth="1"/>
    <x:col min="38" max="38" width="46" hidden="0" customWidth="1"/>
    <x:col min="39" max="39" width="72" hidden="0" customWidth="1"/>
    <x:col min="40" max="40" width="48" hidden="0" customWidth="1"/>
    <x:col min="41" max="41" width="46" hidden="0" customWidth="1"/>
    <x:col min="42" max="42" width="58" hidden="0" customWidth="1"/>
    <x:col min="43" max="43" width="18" hidden="0" customWidth="1"/>
  </x:cols>
  <x:sheetData>
    <x:row r="1" ht="38" customHeight="1">
      <x:c r="A1" s="15" t="str">
        <x:v>Study_ID</x:v>
      </x:c>
      <x:c r="B1" s="15" t="str">
        <x:v>Author</x:v>
      </x:c>
      <x:c r="C1" s="15" t="str">
        <x:v>Year</x:v>
      </x:c>
      <x:c r="D1" s="15" t="str">
        <x:v>Title</x:v>
      </x:c>
      <x:c r="E1" s="15" t="str">
        <x:v>Journal</x:v>
      </x:c>
      <x:c r="F1" s="15" t="str">
        <x:v>DOI</x:v>
      </x:c>
      <x:c r="G1" s="15" t="str">
        <x:v>Scope</x:v>
      </x:c>
      <x:c r="H1" s="15" t="str">
        <x:v>Clinical_domain</x:v>
      </x:c>
      <x:c r="I1" s="15" t="str">
        <x:v>US_modality_frequency</x:v>
      </x:c>
      <x:c r="J1" s="15" t="str">
        <x:v>Device</x:v>
      </x:c>
      <x:c r="K1" s="15" t="str">
        <x:v>Patients</x:v>
      </x:c>
      <x:c r="L1" s="15" t="str">
        <x:v>Lesions</x:v>
      </x:c>
      <x:c r="M1" s="15" t="str">
        <x:v>Images</x:v>
      </x:c>
      <x:c r="N1" s="15" t="str">
        <x:v>Design</x:v>
      </x:c>
      <x:c r="O1" s="15" t="str">
        <x:v>Centers_n</x:v>
      </x:c>
      <x:c r="P1" s="15" t="str">
        <x:v>Countries_n</x:v>
      </x:c>
      <x:c r="Q1" s="15" t="str">
        <x:v>Multisite_Data</x:v>
      </x:c>
      <x:c r="R1" s="15" t="str">
        <x:v>Task</x:v>
      </x:c>
      <x:c r="S1" s="15" t="str">
        <x:v>Model</x:v>
      </x:c>
      <x:c r="T1" s="15" t="str">
        <x:v>Ground_truth</x:v>
      </x:c>
      <x:c r="U1" s="15" t="str">
        <x:v>Validation_strategy</x:v>
      </x:c>
      <x:c r="V1" s="15" t="str">
        <x:v>Internal_validation</x:v>
      </x:c>
      <x:c r="W1" s="15" t="str">
        <x:v>External_image_set_test</x:v>
      </x:c>
      <x:c r="X1" s="15" t="str">
        <x:v>Cross_center_device_technical_validation</x:v>
      </x:c>
      <x:c r="Y1" s="15" t="str">
        <x:v>Strict_external_clinical_validation</x:v>
      </x:c>
      <x:c r="Z1" s="15" t="str">
        <x:v>Prospective_multicentre_validation</x:v>
      </x:c>
      <x:c r="AA1" s="15" t="str">
        <x:v>Human_comparator</x:v>
      </x:c>
      <x:c r="AB1" s="15" t="str">
        <x:v>Public_code_repo</x:v>
      </x:c>
      <x:c r="AC1" s="15" t="str">
        <x:v>Repo_status</x:v>
      </x:c>
      <x:c r="AD1" s="15" t="str">
        <x:v>Study_specific_weights_public</x:v>
      </x:c>
      <x:c r="AE1" s="15" t="str">
        <x:v>Study_specific_full_data_public</x:v>
      </x:c>
      <x:c r="AF1" s="15" t="str">
        <x:v>Related_pretraining_data_public</x:v>
      </x:c>
      <x:c r="AG1" s="15" t="str">
        <x:v>Data_on_request</x:v>
      </x:c>
      <x:c r="AH1" s="15" t="str">
        <x:v>Dataset_reuse_cluster</x:v>
      </x:c>
      <x:c r="AI1" s="15" t="str">
        <x:v>Independent_new_cohort</x:v>
      </x:c>
      <x:c r="AJ1" s="15" t="str">
        <x:v>Point_of_care_workflow</x:v>
      </x:c>
      <x:c r="AK1" s="15" t="str">
        <x:v>Routine_clinical_deployment</x:v>
      </x:c>
      <x:c r="AL1" s="15" t="str">
        <x:v>Primary_performance</x:v>
      </x:c>
      <x:c r="AM1" s="15" t="str">
        <x:v>Limitations_notes</x:v>
      </x:c>
      <x:c r="AN1" s="15" t="str">
        <x:v>Primary_source_URL</x:v>
      </x:c>
      <x:c r="AO1" s="15" t="str">
        <x:v>Code_URL</x:v>
      </x:c>
      <x:c r="AP1" s="15" t="str">
        <x:v>Data_URL</x:v>
      </x:c>
      <x:c r="AQ1" s="15" t="str">
        <x:v>Extraction_confidence</x:v>
      </x:c>
    </x:row>
    <x:row r="2">
      <x:c r="A2" s="20" t="str">
        <x:v>S01</x:v>
      </x:c>
      <x:c r="B2" s="20" t="str">
        <x:v>Slian et al.</x:v>
      </x:c>
      <x:c r="C2" s="20" t="n">
        <x:v>2026</x:v>
      </x:c>
      <x:c r="D2" s="21" t="str">
        <x:v>Actinic keratosis staging in multimodal image data</x:v>
      </x:c>
      <x:c r="E2" s="21" t="str">
        <x:v>Computer Methods and Programs in Biomedicine</x:v>
      </x:c>
      <x:c r="F2" s="21" t="str">
        <x:v>10.1016/j.cmpb.2026.109364</x:v>
      </x:c>
      <x:c r="G2" s="21" t="str">
        <x:v>Core clinical</x:v>
      </x:c>
      <x:c r="H2" s="21" t="str">
        <x:v>Actinic keratosis staging</x:v>
      </x:c>
      <x:c r="I2" s="21" t="str">
        <x:v>HFUS 20 MHz + dermoscopy</x:v>
      </x:c>
      <x:c r="J2" s="21" t="str">
        <x:v>DermaScan C</x:v>
      </x:c>
      <x:c r="K2" s="21" t="n">
        <x:v>74</x:v>
      </x:c>
      <x:c r="L2" s="21" t="str">
        <x:v>NR</x:v>
      </x:c>
      <x:c r="M2" s="21" t="str">
        <x:v>222 paired dermoscopy/HFUS images</x:v>
      </x:c>
      <x:c r="N2" s="21" t="str">
        <x:v>Observational; patient-wise model evaluation</x:v>
      </x:c>
      <x:c r="O2" s="21" t="n">
        <x:v>1</x:v>
      </x:c>
      <x:c r="P2" s="21" t="n">
        <x:v>1</x:v>
      </x:c>
      <x:c r="Q2" s="21" t="str">
        <x:v>No</x:v>
      </x:c>
      <x:c r="R2" s="21" t="str">
        <x:v>AK staging / early-AK detection</x:v>
      </x:c>
      <x:c r="S2" s="21" t="str">
        <x:v>LR, KNN, RF, SVM, MLP; TwinCNN multimodal model</x:v>
      </x:c>
      <x:c r="T2" s="21" t="str">
        <x:v>Clinical/expert AK stage; full histologic reference not established in current extraction</x:v>
      </x:c>
      <x:c r="U2" s="21" t="str">
        <x:v>Patient-wise 5-fold cross-validation</x:v>
      </x:c>
      <x:c r="V2" s="21" t="str">
        <x:v>Yes</x:v>
      </x:c>
      <x:c r="W2" s="21" t="str">
        <x:v>No</x:v>
      </x:c>
      <x:c r="X2" s="21" t="str">
        <x:v>No</x:v>
      </x:c>
      <x:c r="Y2" s="21" t="str">
        <x:v>No</x:v>
      </x:c>
      <x:c r="Z2" s="21" t="str">
        <x:v>No</x:v>
      </x:c>
      <x:c r="AA2" s="21" t="str">
        <x:v>No</x:v>
      </x:c>
      <x:c r="AB2" s="21" t="str">
        <x:v>No</x:v>
      </x:c>
      <x:c r="AC2" s="21" t="str">
        <x:v>No study-specific repository identified</x:v>
      </x:c>
      <x:c r="AD2" s="21" t="str">
        <x:v>No identified</x:v>
      </x:c>
      <x:c r="AE2" s="21" t="str">
        <x:v>Yes</x:v>
      </x:c>
      <x:c r="AF2" s="21" t="str">
        <x:v>No</x:v>
      </x:c>
      <x:c r="AG2" s="21" t="str">
        <x:v>No</x:v>
      </x:c>
      <x:c r="AH2" s="21" t="str">
        <x:v>AK_Mendeley</x:v>
      </x:c>
      <x:c r="AI2" s="21" t="str">
        <x:v>No</x:v>
      </x:c>
      <x:c r="AJ2" s="21" t="str">
        <x:v>No</x:v>
      </x:c>
      <x:c r="AK2" s="21" t="str">
        <x:v>No</x:v>
      </x:c>
      <x:c r="AL2" s="21" t="str">
        <x:v>SVM ~80% staging accuracy; ~89% early-AK detection</x:v>
      </x:c>
      <x:c r="AM2" s="21" t="str">
        <x:v>Expanded version of the AK multimodal dataset; dataset repository v3 supports both Korecka 2024 and Slian 2026. Publication count therefore exceeds independent-cohort count.</x:v>
      </x:c>
      <x:c r="AN2" s="21" t="str">
        <x:v>https://doi.org/10.1016/j.cmpb.2026.109364</x:v>
      </x:c>
      <x:c r="AO2" s="21" t="str"/>
      <x:c r="AP2" s="21" t="str">
        <x:v>https://data.mendeley.com/datasets/w3x8p3bf42/3</x:v>
      </x:c>
      <x:c r="AQ2" s="21" t="str">
        <x:v>High</x:v>
      </x:c>
    </x:row>
    <x:row r="3">
      <x:c r="A3" s="20" t="str">
        <x:v>S02</x:v>
      </x:c>
      <x:c r="B3" s="20" t="str">
        <x:v>Wortsman et al.</x:v>
      </x:c>
      <x:c r="C3" s="20" t="n">
        <x:v>2026</x:v>
      </x:c>
      <x:c r="D3" s="21" t="str">
        <x:v>Artificial Intelligence Deep Learning Ultrasound Discrimination of Cosmetic Fillers: A Multicenter Study</x:v>
      </x:c>
      <x:c r="E3" s="21" t="str">
        <x:v>Journal of Ultrasound in Medicine</x:v>
      </x:c>
      <x:c r="F3" s="21" t="str">
        <x:v>10.1002/jum.70079</x:v>
      </x:c>
      <x:c r="G3" s="21" t="str">
        <x:v>Aesthetic</x:v>
      </x:c>
      <x:c r="H3" s="21" t="str">
        <x:v>Cosmetic filler identification</x:v>
      </x:c>
      <x:c r="I3" s="21" t="str">
        <x:v>Dermatologic ultrasound; multiple devices/operators</x:v>
      </x:c>
      <x:c r="J3" s="21" t="str">
        <x:v>Multiple ultrasound devices</x:v>
      </x:c>
      <x:c r="K3" s="21" t="str">
        <x:v>NR</x:v>
      </x:c>
      <x:c r="L3" s="21" t="str">
        <x:v>NR</x:v>
      </x:c>
      <x:c r="M3" s="21" t="n">
        <x:v>1432</x:v>
      </x:c>
      <x:c r="N3" s="21" t="str">
        <x:v>Multicountry image dataset; model development</x:v>
      </x:c>
      <x:c r="O3" s="21" t="str">
        <x:v>NR</x:v>
      </x:c>
      <x:c r="P3" s="21" t="n">
        <x:v>6</x:v>
      </x:c>
      <x:c r="Q3" s="21" t="str">
        <x:v>Yes</x:v>
      </x:c>
      <x:c r="R3" s="21" t="str">
        <x:v>Filler type discrimination</x:v>
      </x:c>
      <x:c r="S3" s="21" t="str">
        <x:v>YOLOv11</x:v>
      </x:c>
      <x:c r="T3" s="21" t="str">
        <x:v>Operator/clinical filler labels</x:v>
      </x:c>
      <x:c r="U3" s="21" t="str">
        <x:v>Pooled random 10-fold cross-validation; 10% of training folds for validation</x:v>
      </x:c>
      <x:c r="V3" s="21" t="str">
        <x:v>Yes</x:v>
      </x:c>
      <x:c r="W3" s="21" t="str">
        <x:v>No</x:v>
      </x:c>
      <x:c r="X3" s="21" t="str">
        <x:v>Yes</x:v>
      </x:c>
      <x:c r="Y3" s="21" t="str">
        <x:v>No</x:v>
      </x:c>
      <x:c r="Z3" s="21" t="str">
        <x:v>No</x:v>
      </x:c>
      <x:c r="AA3" s="21" t="str">
        <x:v>No</x:v>
      </x:c>
      <x:c r="AB3" s="21" t="str">
        <x:v>No</x:v>
      </x:c>
      <x:c r="AC3" s="21" t="str">
        <x:v>Base YOLOv11 is public; study-specific fine-tuned package not identified</x:v>
      </x:c>
      <x:c r="AD3" s="21" t="str">
        <x:v>No identified</x:v>
      </x:c>
      <x:c r="AE3" s="21" t="str">
        <x:v>No identified</x:v>
      </x:c>
      <x:c r="AF3" s="21" t="str">
        <x:v>No</x:v>
      </x:c>
      <x:c r="AG3" s="21" t="str">
        <x:v>NR</x:v>
      </x:c>
      <x:c r="AH3" s="21" t="str"/>
      <x:c r="AI3" s="21" t="str">
        <x:v>Yes</x:v>
      </x:c>
      <x:c r="AJ3" s="21" t="str">
        <x:v>No</x:v>
      </x:c>
      <x:c r="AK3" s="21" t="str">
        <x:v>No</x:v>
      </x:c>
      <x:c r="AL3" s="21" t="str">
        <x:v>Accuracy 0.92 ± 0.04 across CV folds</x:v>
      </x:c>
      <x:c r="AM3" s="21" t="str">
        <x:v>Strong heterogeneity across physicians/countries/devices, but pooled random CV is not center-held-out external clinical validation.</x:v>
      </x:c>
      <x:c r="AN3" s="21" t="str">
        <x:v>https://doi.org/10.1002/jum.70079</x:v>
      </x:c>
      <x:c r="AO3" s="21" t="str"/>
      <x:c r="AP3" s="21" t="str"/>
      <x:c r="AQ3" s="21" t="str">
        <x:v>High</x:v>
      </x:c>
    </x:row>
    <x:row r="4">
      <x:c r="A4" s="20" t="str">
        <x:v>S03</x:v>
      </x:c>
      <x:c r="B4" s="20" t="str">
        <x:v>da Silva et al.</x:v>
      </x:c>
      <x:c r="C4" s="20" t="n">
        <x:v>2026</x:v>
      </x:c>
      <x:c r="D4" s="21" t="str">
        <x:v>Deep Learning-Based Skin Lesion Classification: A CNN Approach on High-Frequency Ultrasound Imaging</x:v>
      </x:c>
      <x:c r="E4" s="21" t="str">
        <x:v>Journal of Ultrasound in Medicine</x:v>
      </x:c>
      <x:c r="F4" s="21" t="str">
        <x:v>10.1002/jum.70125</x:v>
      </x:c>
      <x:c r="G4" s="21" t="str">
        <x:v>Core clinical</x:v>
      </x:c>
      <x:c r="H4" s="21" t="str">
        <x:v>Benign vs malignant skin lesions</x:v>
      </x:c>
      <x:c r="I4" s="21" t="str">
        <x:v>HFUS B-mode + Doppler</x:v>
      </x:c>
      <x:c r="J4" s="21" t="str">
        <x:v>Public Laverde-Saad dataset</x:v>
      </x:c>
      <x:c r="K4" s="21" t="str">
        <x:v>NR</x:v>
      </x:c>
      <x:c r="L4" s="21" t="n">
        <x:v>202</x:v>
      </x:c>
      <x:c r="M4" s="21" t="str">
        <x:v>202 data instances</x:v>
      </x:c>
      <x:c r="N4" s="21" t="str">
        <x:v>Secondary analysis of public dataset</x:v>
      </x:c>
      <x:c r="O4" s="21" t="n">
        <x:v>1</x:v>
      </x:c>
      <x:c r="P4" s="21" t="n">
        <x:v>1</x:v>
      </x:c>
      <x:c r="Q4" s="21" t="str">
        <x:v>No</x:v>
      </x:c>
      <x:c r="R4" s="21" t="str">
        <x:v>Benign/malignant classification</x:v>
      </x:c>
      <x:c r="S4" s="21" t="str">
        <x:v>CNN; single-modality and multimodal variants</x:v>
      </x:c>
      <x:c r="T4" s="21" t="str">
        <x:v>Original dataset histopathology</x:v>
      </x:c>
      <x:c r="U4" s="21" t="str">
        <x:v>Internal resampling/split on reused public dataset</x:v>
      </x:c>
      <x:c r="V4" s="21" t="str">
        <x:v>Yes</x:v>
      </x:c>
      <x:c r="W4" s="21" t="str">
        <x:v>No</x:v>
      </x:c>
      <x:c r="X4" s="21" t="str">
        <x:v>No</x:v>
      </x:c>
      <x:c r="Y4" s="21" t="str">
        <x:v>No</x:v>
      </x:c>
      <x:c r="Z4" s="21" t="str">
        <x:v>No</x:v>
      </x:c>
      <x:c r="AA4" s="21" t="str">
        <x:v>No</x:v>
      </x:c>
      <x:c r="AB4" s="21" t="str">
        <x:v>No</x:v>
      </x:c>
      <x:c r="AC4" s="21" t="str">
        <x:v>No study-specific public code repository identified</x:v>
      </x:c>
      <x:c r="AD4" s="21" t="str">
        <x:v>No identified</x:v>
      </x:c>
      <x:c r="AE4" s="21" t="str">
        <x:v>Yes</x:v>
      </x:c>
      <x:c r="AF4" s="21" t="str">
        <x:v>No</x:v>
      </x:c>
      <x:c r="AG4" s="21" t="str">
        <x:v>No</x:v>
      </x:c>
      <x:c r="AH4" s="21" t="str">
        <x:v>Laverde_Kaggle</x:v>
      </x:c>
      <x:c r="AI4" s="21" t="str">
        <x:v>No</x:v>
      </x:c>
      <x:c r="AJ4" s="21" t="str">
        <x:v>No</x:v>
      </x:c>
      <x:c r="AK4" s="21" t="str">
        <x:v>No</x:v>
      </x:c>
      <x:c r="AL4" s="21" t="str">
        <x:v>Best HFUS-Doppler accuracy 95%; AUC 0.98</x:v>
      </x:c>
      <x:c r="AM4" s="21" t="str">
        <x:v>Direct reanalysis of the dataset originally described by Laverde-Saad; does not add an independent patient cohort.</x:v>
      </x:c>
      <x:c r="AN4" s="21" t="str">
        <x:v>https://doi.org/10.1002/jum.70125</x:v>
      </x:c>
      <x:c r="AO4" s="21" t="str"/>
      <x:c r="AP4" s="21" t="str">
        <x:v>https://www.kaggle.com/datasets/alfageme/dermatologic-ultrasound-images</x:v>
      </x:c>
      <x:c r="AQ4" s="21" t="str">
        <x:v>High</x:v>
      </x:c>
    </x:row>
    <x:row r="5">
      <x:c r="A5" s="20" t="str">
        <x:v>S04</x:v>
      </x:c>
      <x:c r="B5" s="20" t="str">
        <x:v>Zhang et al.</x:v>
      </x:c>
      <x:c r="C5" s="20" t="n">
        <x:v>2026</x:v>
      </x:c>
      <x:c r="D5" s="21" t="str">
        <x:v>Deep learning-driven high-frequency ultrasound method for skin aging assessment</x:v>
      </x:c>
      <x:c r="E5" s="21" t="str">
        <x:v>Journal of Biomedical Engineering (Sheng Wu Yi Xue Gong Cheng Xue Za Zhi)</x:v>
      </x:c>
      <x:c r="F5" s="21" t="str">
        <x:v>10.7507/1001-5515.202510021</x:v>
      </x:c>
      <x:c r="G5" s="21" t="str">
        <x:v>Physiology/aging</x:v>
      </x:c>
      <x:c r="H5" s="21" t="str">
        <x:v>Skin aging assessment</x:v>
      </x:c>
      <x:c r="I5" s="21" t="str">
        <x:v>HFUS; center frequency 41.67 MHz</x:v>
      </x:c>
      <x:c r="J5" s="21" t="str">
        <x:v>Vantage 128 + L38-22v</x:v>
      </x:c>
      <x:c r="K5" s="21" t="n">
        <x:v>70</x:v>
      </x:c>
      <x:c r="L5" s="21" t="str">
        <x:v>NA</x:v>
      </x:c>
      <x:c r="M5" s="21" t="n">
        <x:v>5152</x:v>
      </x:c>
      <x:c r="N5" s="21" t="str">
        <x:v>Cross-sectional model development</x:v>
      </x:c>
      <x:c r="O5" s="21" t="n">
        <x:v>1</x:v>
      </x:c>
      <x:c r="P5" s="21" t="n">
        <x:v>1</x:v>
      </x:c>
      <x:c r="Q5" s="21" t="str">
        <x:v>No</x:v>
      </x:c>
      <x:c r="R5" s="21" t="str">
        <x:v>Age-group / skin-aging assessment</x:v>
      </x:c>
      <x:c r="S5" s="21" t="str">
        <x:v>EfficientNetV2 backbone + temporal hierarchy + dual attention + path-dropout</x:v>
      </x:c>
      <x:c r="T5" s="21" t="str">
        <x:v>Age-group labels</x:v>
      </x:c>
      <x:c r="U5" s="21" t="str">
        <x:v>Train/validation/test split 6:2:2</x:v>
      </x:c>
      <x:c r="V5" s="21" t="str">
        <x:v>Yes</x:v>
      </x:c>
      <x:c r="W5" s="21" t="str">
        <x:v>No</x:v>
      </x:c>
      <x:c r="X5" s="21" t="str">
        <x:v>No</x:v>
      </x:c>
      <x:c r="Y5" s="21" t="str">
        <x:v>No</x:v>
      </x:c>
      <x:c r="Z5" s="21" t="str">
        <x:v>No</x:v>
      </x:c>
      <x:c r="AA5" s="21" t="str">
        <x:v>No</x:v>
      </x:c>
      <x:c r="AB5" s="21" t="str">
        <x:v>No</x:v>
      </x:c>
      <x:c r="AC5" s="21" t="str">
        <x:v>No public study-specific repository identified</x:v>
      </x:c>
      <x:c r="AD5" s="21" t="str">
        <x:v>No identified</x:v>
      </x:c>
      <x:c r="AE5" s="21" t="str">
        <x:v>No identified</x:v>
      </x:c>
      <x:c r="AF5" s="21" t="str">
        <x:v>No</x:v>
      </x:c>
      <x:c r="AG5" s="21" t="str">
        <x:v>NR</x:v>
      </x:c>
      <x:c r="AH5" s="21" t="str"/>
      <x:c r="AI5" s="21" t="str">
        <x:v>Yes</x:v>
      </x:c>
      <x:c r="AJ5" s="21" t="str">
        <x:v>No</x:v>
      </x:c>
      <x:c r="AK5" s="21" t="str">
        <x:v>No</x:v>
      </x:c>
      <x:c r="AL5" s="21" t="str">
        <x:v>Accuracy 87.66%; F1 87.80%; specificity 97.94%</x:v>
      </x:c>
      <x:c r="AM5" s="21" t="str">
        <x:v>Healthy-women aging dataset; technical/physiologic rather than disease-diagnostic endpoint.</x:v>
      </x:c>
      <x:c r="AN5" s="21" t="str">
        <x:v>https://doi.org/10.7507/1001-5515.202510021</x:v>
      </x:c>
      <x:c r="AO5" s="21" t="str"/>
      <x:c r="AP5" s="21" t="str"/>
      <x:c r="AQ5" s="21" t="str">
        <x:v>High</x:v>
      </x:c>
    </x:row>
    <x:row r="6">
      <x:c r="A6" s="20" t="str">
        <x:v>S05</x:v>
      </x:c>
      <x:c r="B6" s="20" t="str">
        <x:v>Boostani et al.</x:v>
      </x:c>
      <x:c r="C6" s="20" t="n">
        <x:v>2026</x:v>
      </x:c>
      <x:c r="D6" s="21" t="str">
        <x:v>Dermoscopy-guided high-frequency ultrasound: Principles and applications in dermatology</x:v>
      </x:c>
      <x:c r="E6" s="21" t="str">
        <x:v>JID Innovations</x:v>
      </x:c>
      <x:c r="F6" s="21" t="str">
        <x:v>10.1016/j.xjidi.2025.100446</x:v>
      </x:c>
      <x:c r="G6" s="21" t="str">
        <x:v>Technical/workflow</x:v>
      </x:c>
      <x:c r="H6" s="21" t="str">
        <x:v>Dermoscopy-guided HFUS workflow / lesion assessment</x:v>
      </x:c>
      <x:c r="I6" s="21" t="str">
        <x:v>HFUS integrated with dermoscopy</x:v>
      </x:c>
      <x:c r="J6" s="21" t="str">
        <x:v>Multicentre dermatologic HFUS workflow</x:v>
      </x:c>
      <x:c r="K6" s="21" t="n">
        <x:v>122</x:v>
      </x:c>
      <x:c r="L6" s="21" t="n">
        <x:v>130</x:v>
      </x:c>
      <x:c r="M6" s="21" t="str">
        <x:v>NR</x:v>
      </x:c>
      <x:c r="N6" s="21" t="str">
        <x:v>Multicentre observational workflow study</x:v>
      </x:c>
      <x:c r="O6" s="21" t="n">
        <x:v>3</x:v>
      </x:c>
      <x:c r="P6" s="21" t="n">
        <x:v>3</x:v>
      </x:c>
      <x:c r="Q6" s="21" t="str">
        <x:v>Yes</x:v>
      </x:c>
      <x:c r="R6" s="21" t="str">
        <x:v>Automated segmentation / real-time lesion guidance</x:v>
      </x:c>
      <x:c r="S6" s="21" t="str">
        <x:v>CNN-based automated HFUS segmentation</x:v>
      </x:c>
      <x:c r="T6" s="21" t="str">
        <x:v>Expert/clinical lesion interpretation</x:v>
      </x:c>
      <x:c r="U6" s="21" t="str">
        <x:v>Multicentre workflow demonstration; not a held-out diagnostic validation study</x:v>
      </x:c>
      <x:c r="V6" s="21" t="str">
        <x:v>Yes</x:v>
      </x:c>
      <x:c r="W6" s="21" t="str">
        <x:v>No</x:v>
      </x:c>
      <x:c r="X6" s="21" t="str">
        <x:v>Yes</x:v>
      </x:c>
      <x:c r="Y6" s="21" t="str">
        <x:v>No</x:v>
      </x:c>
      <x:c r="Z6" s="21" t="str">
        <x:v>No</x:v>
      </x:c>
      <x:c r="AA6" s="21" t="str">
        <x:v>No</x:v>
      </x:c>
      <x:c r="AB6" s="21" t="str">
        <x:v>No</x:v>
      </x:c>
      <x:c r="AC6" s="21" t="str">
        <x:v>No public study-specific repository identified</x:v>
      </x:c>
      <x:c r="AD6" s="21" t="str">
        <x:v>No identified</x:v>
      </x:c>
      <x:c r="AE6" s="21" t="str">
        <x:v>No identified</x:v>
      </x:c>
      <x:c r="AF6" s="21" t="str">
        <x:v>No</x:v>
      </x:c>
      <x:c r="AG6" s="21" t="str">
        <x:v>NR</x:v>
      </x:c>
      <x:c r="AH6" s="21" t="str"/>
      <x:c r="AI6" s="21" t="str">
        <x:v>Yes</x:v>
      </x:c>
      <x:c r="AJ6" s="21" t="str">
        <x:v>Yes</x:v>
      </x:c>
      <x:c r="AK6" s="21" t="str">
        <x:v>No</x:v>
      </x:c>
      <x:c r="AL6" s="21" t="str">
        <x:v>AI-based automated segmentation improved HFUS interpretability/workflow</x:v>
      </x:c>
      <x:c r="AM6" s="21" t="str">
        <x:v>Strongest example of integrated real-time/point-of-care AI-enhanced dermatologic ultrasound. Does not demonstrate routine deployment or patient-outcome benefit.</x:v>
      </x:c>
      <x:c r="AN6" s="21" t="str">
        <x:v>https://doi.org/10.1016/j.xjidi.2025.100446</x:v>
      </x:c>
      <x:c r="AO6" s="21" t="str"/>
      <x:c r="AP6" s="21" t="str"/>
      <x:c r="AQ6" s="21" t="str">
        <x:v>High</x:v>
      </x:c>
    </x:row>
    <x:row r="7">
      <x:c r="A7" s="20" t="str">
        <x:v>S06</x:v>
      </x:c>
      <x:c r="B7" s="20" t="str">
        <x:v>Ayyildiz</x:v>
      </x:c>
      <x:c r="C7" s="20" t="n">
        <x:v>2026</x:v>
      </x:c>
      <x:c r="D7" s="21" t="str">
        <x:v>Machine Learning–Based Ultrasound Radiomics for Differentiating Benign and Malignant Skin Lesions: A Comparative Feature-Set and Model Performance Analysis</x:v>
      </x:c>
      <x:c r="E7" s="21" t="str">
        <x:v>European Archives of Medical Research</x:v>
      </x:c>
      <x:c r="F7" s="21" t="str">
        <x:v>10.14744/eamr.2026.03206</x:v>
      </x:c>
      <x:c r="G7" s="21" t="str">
        <x:v>Core clinical</x:v>
      </x:c>
      <x:c r="H7" s="21" t="str">
        <x:v>Benign vs malignant skin lesions</x:v>
      </x:c>
      <x:c r="I7" s="21" t="str">
        <x:v>Dermatologic ultrasound radiomics</x:v>
      </x:c>
      <x:c r="J7" s="21" t="str">
        <x:v>Public Laverde-Saad/Kaggle dataset</x:v>
      </x:c>
      <x:c r="K7" s="21" t="str">
        <x:v>NR</x:v>
      </x:c>
      <x:c r="L7" s="21" t="n">
        <x:v>190</x:v>
      </x:c>
      <x:c r="M7" s="21" t="n">
        <x:v>190</x:v>
      </x:c>
      <x:c r="N7" s="21" t="str">
        <x:v>Retrospective secondary analysis</x:v>
      </x:c>
      <x:c r="O7" s="21" t="n">
        <x:v>1</x:v>
      </x:c>
      <x:c r="P7" s="21" t="n">
        <x:v>1</x:v>
      </x:c>
      <x:c r="Q7" s="21" t="str">
        <x:v>No</x:v>
      </x:c>
      <x:c r="R7" s="21" t="str">
        <x:v>Benign/malignant classification</x:v>
      </x:c>
      <x:c r="S7" s="21" t="str">
        <x:v>Radiomics + LR, SVM, RF</x:v>
      </x:c>
      <x:c r="T7" s="21" t="str">
        <x:v>Original dataset histopathology</x:v>
      </x:c>
      <x:c r="U7" s="21" t="str">
        <x:v>Stratified 5-fold cross-validation</x:v>
      </x:c>
      <x:c r="V7" s="21" t="str">
        <x:v>Yes</x:v>
      </x:c>
      <x:c r="W7" s="21" t="str">
        <x:v>No</x:v>
      </x:c>
      <x:c r="X7" s="21" t="str">
        <x:v>No</x:v>
      </x:c>
      <x:c r="Y7" s="21" t="str">
        <x:v>No</x:v>
      </x:c>
      <x:c r="Z7" s="21" t="str">
        <x:v>No</x:v>
      </x:c>
      <x:c r="AA7" s="21" t="str">
        <x:v>No</x:v>
      </x:c>
      <x:c r="AB7" s="21" t="str">
        <x:v>No</x:v>
      </x:c>
      <x:c r="AC7" s="21" t="str">
        <x:v>No public study-specific code repository identified</x:v>
      </x:c>
      <x:c r="AD7" s="21" t="str">
        <x:v>No identified</x:v>
      </x:c>
      <x:c r="AE7" s="21" t="str">
        <x:v>Yes</x:v>
      </x:c>
      <x:c r="AF7" s="21" t="str">
        <x:v>No</x:v>
      </x:c>
      <x:c r="AG7" s="21" t="str">
        <x:v>No</x:v>
      </x:c>
      <x:c r="AH7" s="21" t="str">
        <x:v>Laverde_Kaggle</x:v>
      </x:c>
      <x:c r="AI7" s="21" t="str">
        <x:v>No</x:v>
      </x:c>
      <x:c r="AJ7" s="21" t="str">
        <x:v>No</x:v>
      </x:c>
      <x:c r="AK7" s="21" t="str">
        <x:v>No</x:v>
      </x:c>
      <x:c r="AL7" s="21" t="str">
        <x:v>Best AUC 0.706; accuracy 0.716</x:v>
      </x:c>
      <x:c r="AM7" s="21" t="str">
        <x:v>Reuses the public Laverde-Saad dataset; 190 final lesions after exclusions.</x:v>
      </x:c>
      <x:c r="AN7" s="21" t="str">
        <x:v>https://doi.org/10.14744/eamr.2026.03206</x:v>
      </x:c>
      <x:c r="AO7" s="21" t="str"/>
      <x:c r="AP7" s="21" t="str">
        <x:v>https://www.kaggle.com/datasets/alfageme/dermatologic-ultrasound-images</x:v>
      </x:c>
      <x:c r="AQ7" s="21" t="str">
        <x:v>High</x:v>
      </x:c>
    </x:row>
    <x:row r="8">
      <x:c r="A8" s="20" t="str">
        <x:v>S07</x:v>
      </x:c>
      <x:c r="B8" s="20" t="str">
        <x:v>Serebryakova et al.</x:v>
      </x:c>
      <x:c r="C8" s="20" t="n">
        <x:v>2026</x:v>
      </x:c>
      <x:c r="D8" s="21" t="str">
        <x:v>Multimodal Ultrasound/Optical Method for Basal Cell Carcinoma Recognition Using Machine Learning</x:v>
      </x:c>
      <x:c r="E8" s="21" t="str">
        <x:v>IEEE Journal of Selected Topics in Quantum Electronics</x:v>
      </x:c>
      <x:c r="F8" s="21" t="str">
        <x:v>10.1109/JSTQE.2026.3670391</x:v>
      </x:c>
      <x:c r="G8" s="21" t="str">
        <x:v>Core clinical</x:v>
      </x:c>
      <x:c r="H8" s="21" t="str">
        <x:v>BCC vs benign neoplasms</x:v>
      </x:c>
      <x:c r="I8" s="21" t="str">
        <x:v>HFUS + OCT + diffuse reflectance spectroscopy</x:v>
      </x:c>
      <x:c r="J8" s="21" t="str">
        <x:v>NR in accessible abstract</x:v>
      </x:c>
      <x:c r="K8" s="21" t="str">
        <x:v>NR</x:v>
      </x:c>
      <x:c r="L8" s="21" t="str">
        <x:v>NR</x:v>
      </x:c>
      <x:c r="M8" s="21" t="str">
        <x:v>NR</x:v>
      </x:c>
      <x:c r="N8" s="21" t="str">
        <x:v>NR; multimodal model-development study</x:v>
      </x:c>
      <x:c r="O8" s="21" t="str">
        <x:v>NR</x:v>
      </x:c>
      <x:c r="P8" s="21" t="n">
        <x:v>1</x:v>
      </x:c>
      <x:c r="Q8" s="21" t="str">
        <x:v>No/NR</x:v>
      </x:c>
      <x:c r="R8" s="21" t="str">
        <x:v>Benign/malignant neoplasm recognition</x:v>
      </x:c>
      <x:c r="S8" s="21" t="str">
        <x:v>Gradient boosting + fusion of unimodal classifiers</x:v>
      </x:c>
      <x:c r="T8" s="21" t="str">
        <x:v>Clinical/pathologic lesion labels; exact reference standard NR in accessible abstract</x:v>
      </x:c>
      <x:c r="U8" s="21" t="str">
        <x:v>Internal model evaluation; detailed split NR in accessible abstract</x:v>
      </x:c>
      <x:c r="V8" s="21" t="str">
        <x:v>Yes/NR</x:v>
      </x:c>
      <x:c r="W8" s="21" t="str">
        <x:v>No/NR</x:v>
      </x:c>
      <x:c r="X8" s="21" t="str">
        <x:v>No/NR</x:v>
      </x:c>
      <x:c r="Y8" s="21" t="str">
        <x:v>No</x:v>
      </x:c>
      <x:c r="Z8" s="21" t="str">
        <x:v>No</x:v>
      </x:c>
      <x:c r="AA8" s="21" t="str">
        <x:v>No</x:v>
      </x:c>
      <x:c r="AB8" s="21" t="str">
        <x:v>No</x:v>
      </x:c>
      <x:c r="AC8" s="21" t="str">
        <x:v>No public study-specific repository identified</x:v>
      </x:c>
      <x:c r="AD8" s="21" t="str">
        <x:v>No identified</x:v>
      </x:c>
      <x:c r="AE8" s="21" t="str">
        <x:v>No identified</x:v>
      </x:c>
      <x:c r="AF8" s="21" t="str">
        <x:v>No</x:v>
      </x:c>
      <x:c r="AG8" s="21" t="str">
        <x:v>NR</x:v>
      </x:c>
      <x:c r="AH8" s="21" t="str"/>
      <x:c r="AI8" s="21" t="str">
        <x:v>Unclear</x:v>
      </x:c>
      <x:c r="AJ8" s="21" t="str">
        <x:v>No</x:v>
      </x:c>
      <x:c r="AK8" s="21" t="str">
        <x:v>No</x:v>
      </x:c>
      <x:c r="AL8" s="21" t="str">
        <x:v>Reported accuracy 96% for benign vs malignant differentiation</x:v>
      </x:c>
      <x:c r="AM8" s="21" t="str">
        <x:v>Same research group/modalities as Surkov 2024; cohort overlap is plausible but not yet confirmed. Keep lineage as unresolved rather than counting reuse.</x:v>
      </x:c>
      <x:c r="AN8" s="21" t="str">
        <x:v>https://doi.org/10.1109/JSTQE.2026.3670391</x:v>
      </x:c>
      <x:c r="AO8" s="21" t="str"/>
      <x:c r="AP8" s="21" t="str"/>
      <x:c r="AQ8" s="21" t="str">
        <x:v>Moderate</x:v>
      </x:c>
    </x:row>
    <x:row r="9">
      <x:c r="A9" s="20" t="str">
        <x:v>S08</x:v>
      </x:c>
      <x:c r="B9" s="20" t="str">
        <x:v>Qin et al.</x:v>
      </x:c>
      <x:c r="C9" s="20" t="n">
        <x:v>2025</x:v>
      </x:c>
      <x:c r="D9" s="21" t="str">
        <x:v>A machine learning model based on high-frequency ultrasound for differentiating benign and malignant skin tumors</x:v>
      </x:c>
      <x:c r="E9" s="21" t="str">
        <x:v>Medical Ultrasonography</x:v>
      </x:c>
      <x:c r="F9" s="21" t="str">
        <x:v>10.11152/mu-4504</x:v>
      </x:c>
      <x:c r="G9" s="21" t="str">
        <x:v>Core clinical</x:v>
      </x:c>
      <x:c r="H9" s="21" t="str">
        <x:v>Benign vs malignant skin tumors</x:v>
      </x:c>
      <x:c r="I9" s="21" t="str">
        <x:v>HFUS radiomics</x:v>
      </x:c>
      <x:c r="J9" s="21" t="str">
        <x:v>NR</x:v>
      </x:c>
      <x:c r="K9" s="21" t="str">
        <x:v>NR</x:v>
      </x:c>
      <x:c r="L9" s="21" t="n">
        <x:v>156</x:v>
      </x:c>
      <x:c r="M9" s="21" t="str">
        <x:v>NR</x:v>
      </x:c>
      <x:c r="N9" s="21" t="str">
        <x:v>Retrospective</x:v>
      </x:c>
      <x:c r="O9" s="21" t="n">
        <x:v>1</x:v>
      </x:c>
      <x:c r="P9" s="21" t="n">
        <x:v>1</x:v>
      </x:c>
      <x:c r="Q9" s="21" t="str">
        <x:v>No</x:v>
      </x:c>
      <x:c r="R9" s="21" t="str">
        <x:v>Benign/malignant classification</x:v>
      </x:c>
      <x:c r="S9" s="21" t="str">
        <x:v>Radiomics + five ML models; MLP best</x:v>
      </x:c>
      <x:c r="T9" s="21" t="str">
        <x:v>Pathology/clinical diagnosis</x:v>
      </x:c>
      <x:c r="U9" s="21" t="str">
        <x:v>Development/evaluation split; internal validation</x:v>
      </x:c>
      <x:c r="V9" s="21" t="str">
        <x:v>Yes</x:v>
      </x:c>
      <x:c r="W9" s="21" t="str">
        <x:v>No</x:v>
      </x:c>
      <x:c r="X9" s="21" t="str">
        <x:v>No</x:v>
      </x:c>
      <x:c r="Y9" s="21" t="str">
        <x:v>No</x:v>
      </x:c>
      <x:c r="Z9" s="21" t="str">
        <x:v>No</x:v>
      </x:c>
      <x:c r="AA9" s="21" t="str">
        <x:v>No</x:v>
      </x:c>
      <x:c r="AB9" s="21" t="str">
        <x:v>No</x:v>
      </x:c>
      <x:c r="AC9" s="21" t="str">
        <x:v>No public study-specific code/data repository identified</x:v>
      </x:c>
      <x:c r="AD9" s="21" t="str">
        <x:v>No identified</x:v>
      </x:c>
      <x:c r="AE9" s="21" t="str">
        <x:v>No identified</x:v>
      </x:c>
      <x:c r="AF9" s="21" t="str">
        <x:v>No</x:v>
      </x:c>
      <x:c r="AG9" s="21" t="str">
        <x:v>NR</x:v>
      </x:c>
      <x:c r="AH9" s="21" t="str"/>
      <x:c r="AI9" s="21" t="str">
        <x:v>Yes</x:v>
      </x:c>
      <x:c r="AJ9" s="21" t="str">
        <x:v>No</x:v>
      </x:c>
      <x:c r="AK9" s="21" t="str">
        <x:v>No</x:v>
      </x:c>
      <x:c r="AL9" s="21" t="str">
        <x:v>AUC 0.963 development; 0.912 evaluation</x:v>
      </x:c>
      <x:c r="AM9" s="21" t="str">
        <x:v>Small retrospective single-centre cohort; no external-site validation.</x:v>
      </x:c>
      <x:c r="AN9" s="21" t="str">
        <x:v>https://doi.org/10.11152/mu-4504</x:v>
      </x:c>
      <x:c r="AO9" s="21" t="str"/>
      <x:c r="AP9" s="21" t="str"/>
      <x:c r="AQ9" s="21" t="str">
        <x:v>High</x:v>
      </x:c>
    </x:row>
    <x:row r="10">
      <x:c r="A10" s="20" t="str">
        <x:v>S09</x:v>
      </x:c>
      <x:c r="B10" s="20" t="str">
        <x:v>Xiao et al.</x:v>
      </x:c>
      <x:c r="C10" s="20" t="n">
        <x:v>2025</x:v>
      </x:c>
      <x:c r="D10" s="21" t="str">
        <x:v>Attention-Guided Learning With Feature Reconstruction for Skin Lesion Diagnosis Using Clinical and Ultrasound Images</x:v>
      </x:c>
      <x:c r="E10" s="21" t="str">
        <x:v>IEEE Transactions on Medical Imaging</x:v>
      </x:c>
      <x:c r="F10" s="21" t="str">
        <x:v>10.1109/TMI.2024.3450682</x:v>
      </x:c>
      <x:c r="G10" s="21" t="str">
        <x:v>Core clinical</x:v>
      </x:c>
      <x:c r="H10" s="21" t="str">
        <x:v>Multimodal skin-lesion diagnosis</x:v>
      </x:c>
      <x:c r="I10" s="21" t="str">
        <x:v>Clinical images + skin ultrasound</x:v>
      </x:c>
      <x:c r="J10" s="21" t="str">
        <x:v>NR in accessible abstract</x:v>
      </x:c>
      <x:c r="K10" s="21" t="str">
        <x:v>NR</x:v>
      </x:c>
      <x:c r="L10" s="21" t="str">
        <x:v>NR</x:v>
      </x:c>
      <x:c r="M10" s="21" t="str">
        <x:v>NR</x:v>
      </x:c>
      <x:c r="N10" s="21" t="str">
        <x:v>Model-development study; detailed cohort design NR in accessible abstract</x:v>
      </x:c>
      <x:c r="O10" s="21" t="str">
        <x:v>NR</x:v>
      </x:c>
      <x:c r="P10" s="21" t="n">
        <x:v>1</x:v>
      </x:c>
      <x:c r="Q10" s="21" t="str">
        <x:v>NR</x:v>
      </x:c>
      <x:c r="R10" s="21" t="str">
        <x:v>Skin-lesion diagnosis</x:v>
      </x:c>
      <x:c r="S10" s="21" t="str">
        <x:v>AGFnet: attention-guided local/global learning + feature reconstruction</x:v>
      </x:c>
      <x:c r="T10" s="21" t="str">
        <x:v>Diagnostic labels; exact reference standard NR in accessible abstract</x:v>
      </x:c>
      <x:c r="U10" s="21" t="str">
        <x:v>Internal experimental evaluation; detailed split/cohort NR in accessible abstract</x:v>
      </x:c>
      <x:c r="V10" s="21" t="str">
        <x:v>Yes/NR</x:v>
      </x:c>
      <x:c r="W10" s="21" t="str">
        <x:v>No/NR</x:v>
      </x:c>
      <x:c r="X10" s="21" t="str">
        <x:v>No/NR</x:v>
      </x:c>
      <x:c r="Y10" s="21" t="str">
        <x:v>No</x:v>
      </x:c>
      <x:c r="Z10" s="21" t="str">
        <x:v>No</x:v>
      </x:c>
      <x:c r="AA10" s="21" t="str">
        <x:v>No</x:v>
      </x:c>
      <x:c r="AB10" s="21" t="str">
        <x:v>Yes</x:v>
      </x:c>
      <x:c r="AC10" s="21" t="str">
        <x:v>Public study-specific code repository identified</x:v>
      </x:c>
      <x:c r="AD10" s="21" t="str">
        <x:v>No identified</x:v>
      </x:c>
      <x:c r="AE10" s="21" t="str">
        <x:v>No identified</x:v>
      </x:c>
      <x:c r="AF10" s="21" t="str">
        <x:v>No</x:v>
      </x:c>
      <x:c r="AG10" s="21" t="str">
        <x:v>NR</x:v>
      </x:c>
      <x:c r="AH10" s="21" t="str"/>
      <x:c r="AI10" s="21" t="str">
        <x:v>Unclear</x:v>
      </x:c>
      <x:c r="AJ10" s="21" t="str">
        <x:v>No</x:v>
      </x:c>
      <x:c r="AK10" s="21" t="str">
        <x:v>No</x:v>
      </x:c>
      <x:c r="AL10" s="21" t="str">
        <x:v>Outperformed reported multimodal baselines; exact headline metric not extracted from accessible abstract</x:v>
      </x:c>
      <x:c r="AM10" s="21" t="str">
        <x:v>Shares authors and clinical-ultrasound research lineage with Zhu 2024; dataset overlap remains unresolved and is not counted as confirmed reuse.</x:v>
      </x:c>
      <x:c r="AN10" s="21" t="str">
        <x:v>https://doi.org/10.1109/TMI.2024.3450682</x:v>
      </x:c>
      <x:c r="AO10" s="21" t="str">
        <x:v>https://github.com/XCL-hub/AGFnet</x:v>
      </x:c>
      <x:c r="AP10" s="21" t="str"/>
      <x:c r="AQ10" s="21" t="str">
        <x:v>Moderate</x:v>
      </x:c>
    </x:row>
    <x:row r="11">
      <x:c r="A11" s="20" t="str">
        <x:v>S10</x:v>
      </x:c>
      <x:c r="B11" s="20" t="str">
        <x:v>Zhao et al.</x:v>
      </x:c>
      <x:c r="C11" s="20" t="n">
        <x:v>2025</x:v>
      </x:c>
      <x:c r="D11" s="21" t="str">
        <x:v>Label-guided graph learning network via two-stage cross-modal fusion for multi-label skin disease diagnosis</x:v>
      </x:c>
      <x:c r="E11" s="21" t="str">
        <x:v>Engineering Applications of Artificial Intelligence</x:v>
      </x:c>
      <x:c r="F11" s="21" t="str">
        <x:v>10.1016/j.engappai.2025.112025</x:v>
      </x:c>
      <x:c r="G11" s="21" t="str">
        <x:v>Core clinical</x:v>
      </x:c>
      <x:c r="H11" s="21" t="str">
        <x:v>Multi-label skin disease diagnosis</x:v>
      </x:c>
      <x:c r="I11" s="21" t="str">
        <x:v>Clinical images + skin ultrasound</x:v>
      </x:c>
      <x:c r="J11" s="21" t="str">
        <x:v>Private Dataset A; ultrasound department, Shanghai Tenth People's Hospital</x:v>
      </x:c>
      <x:c r="K11" s="21" t="n">
        <x:v>1014</x:v>
      </x:c>
      <x:c r="L11" s="21" t="str">
        <x:v>NR</x:v>
      </x:c>
      <x:c r="M11" s="21" t="str">
        <x:v>NR</x:v>
      </x:c>
      <x:c r="N11" s="21" t="str">
        <x:v>Retrospective single-centre private dataset (2011–2020)</x:v>
      </x:c>
      <x:c r="O11" s="21" t="n">
        <x:v>1</x:v>
      </x:c>
      <x:c r="P11" s="21" t="n">
        <x:v>1</x:v>
      </x:c>
      <x:c r="Q11" s="21" t="str">
        <x:v>No</x:v>
      </x:c>
      <x:c r="R11" s="21" t="str">
        <x:v>Pathologic diagnosis; benign/malignant; 7-point checklist</x:v>
      </x:c>
      <x:c r="S11" s="21" t="str">
        <x:v>LGL-Net: Xception dual-branch + two-stage cross-modal fusion + graph convolutional label learning</x:v>
      </x:c>
      <x:c r="T11" s="21" t="str">
        <x:v>Clinical/pathologic labels</x:v>
      </x:c>
      <x:c r="U11" s="21" t="str">
        <x:v>Internal private-dataset experiments + public non-ultrasound multimodal benchmark</x:v>
      </x:c>
      <x:c r="V11" s="21" t="str">
        <x:v>Yes</x:v>
      </x:c>
      <x:c r="W11" s="21" t="str">
        <x:v>Yes</x:v>
      </x:c>
      <x:c r="X11" s="21" t="str">
        <x:v>No</x:v>
      </x:c>
      <x:c r="Y11" s="21" t="str">
        <x:v>No</x:v>
      </x:c>
      <x:c r="Z11" s="21" t="str">
        <x:v>No</x:v>
      </x:c>
      <x:c r="AA11" s="21" t="str">
        <x:v>No</x:v>
      </x:c>
      <x:c r="AB11" s="21" t="str">
        <x:v>Yes</x:v>
      </x:c>
      <x:c r="AC11" s="21" t="str">
        <x:v>Public study-specific code repository identified</x:v>
      </x:c>
      <x:c r="AD11" s="21" t="str">
        <x:v>No identified</x:v>
      </x:c>
      <x:c r="AE11" s="21" t="str">
        <x:v>No — private ultrasound dataset</x:v>
      </x:c>
      <x:c r="AF11" s="21" t="str">
        <x:v>Yes — public non-ultrasound benchmark</x:v>
      </x:c>
      <x:c r="AG11" s="21" t="str">
        <x:v>NR</x:v>
      </x:c>
      <x:c r="AH11" s="21" t="str"/>
      <x:c r="AI11" s="21" t="str">
        <x:v>Yes</x:v>
      </x:c>
      <x:c r="AJ11" s="21" t="str">
        <x:v>No</x:v>
      </x:c>
      <x:c r="AK11" s="21" t="str">
        <x:v>No</x:v>
      </x:c>
      <x:c r="AL11" s="21" t="str">
        <x:v>Model reported superior performance across multi-label diagnostic tasks; exact headline metric not extracted here</x:v>
      </x:c>
      <x:c r="AM11" s="21" t="str">
        <x:v>Private ultrasound cohort from one hospital. External/public benchmark is not an external clinical ultrasound validation.</x:v>
      </x:c>
      <x:c r="AN11" s="21" t="str">
        <x:v>https://doi.org/10.1016/j.engappai.2025.112025</x:v>
      </x:c>
      <x:c r="AO11" s="21" t="str">
        <x:v>https://github.com/Zhaocheng1/LGL-Net</x:v>
      </x:c>
      <x:c r="AP11" s="21" t="str"/>
      <x:c r="AQ11" s="21" t="str">
        <x:v>High</x:v>
      </x:c>
    </x:row>
    <x:row r="12">
      <x:c r="A12" s="20" t="str">
        <x:v>S11</x:v>
      </x:c>
      <x:c r="B12" s="20" t="str">
        <x:v>Vergilio et al.</x:v>
      </x:c>
      <x:c r="C12" s="20" t="n">
        <x:v>2025</x:v>
      </x:c>
      <x:c r="D12" s="21" t="str">
        <x:v>Enhancing skin aging parameter assessment in clinical trials: AI-Driven analysis of ultrasound images</x:v>
      </x:c>
      <x:c r="E12" s="21" t="str">
        <x:v>Biomedical Signal Processing and Control</x:v>
      </x:c>
      <x:c r="F12" s="21" t="str">
        <x:v>10.1016/j.bspc.2024.106962</x:v>
      </x:c>
      <x:c r="G12" s="21" t="str">
        <x:v>Physiology/aging</x:v>
      </x:c>
      <x:c r="H12" s="21" t="str">
        <x:v>Skin aging / automated HFUS parameters</x:v>
      </x:c>
      <x:c r="I12" s="21" t="str">
        <x:v>HFUS skin imaging</x:v>
      </x:c>
      <x:c r="J12" s="21" t="str">
        <x:v>Laboratory HFUS imaging; exact device NR in current extraction</x:v>
      </x:c>
      <x:c r="K12" s="21" t="n">
        <x:v>184</x:v>
      </x:c>
      <x:c r="L12" s="21" t="str">
        <x:v>NA</x:v>
      </x:c>
      <x:c r="M12" s="21" t="str">
        <x:v>184 total source images; 144 training + 40 validation</x:v>
      </x:c>
      <x:c r="N12" s="21" t="str">
        <x:v>Model development + independent holdout validation + trial application</x:v>
      </x:c>
      <x:c r="O12" s="21" t="n">
        <x:v>1</x:v>
      </x:c>
      <x:c r="P12" s="21" t="n">
        <x:v>1</x:v>
      </x:c>
      <x:c r="Q12" s="21" t="str">
        <x:v>No</x:v>
      </x:c>
      <x:c r="R12" s="21" t="str">
        <x:v>Automated echogenicity/thickness estimation</x:v>
      </x:c>
      <x:c r="S12" s="21" t="str">
        <x:v>Supervised ML regression models</x:v>
      </x:c>
      <x:c r="T12" s="21" t="str">
        <x:v>Manual HFUS measurements</x:v>
      </x:c>
      <x:c r="U12" s="21" t="str">
        <x:v>144-image training set + independent 40-image validation set from same laboratory source; later application in 34-woman clinical trial</x:v>
      </x:c>
      <x:c r="V12" s="21" t="str">
        <x:v>Yes</x:v>
      </x:c>
      <x:c r="W12" s="21" t="str">
        <x:v>No — independent holdout but not external site</x:v>
      </x:c>
      <x:c r="X12" s="21" t="str">
        <x:v>No</x:v>
      </x:c>
      <x:c r="Y12" s="21" t="str">
        <x:v>No</x:v>
      </x:c>
      <x:c r="Z12" s="21" t="str">
        <x:v>No</x:v>
      </x:c>
      <x:c r="AA12" s="21" t="str">
        <x:v>Yes — manual measurements</x:v>
      </x:c>
      <x:c r="AB12" s="21" t="str">
        <x:v>No</x:v>
      </x:c>
      <x:c r="AC12" s="21" t="str">
        <x:v>No public study-specific repository identified</x:v>
      </x:c>
      <x:c r="AD12" s="21" t="str">
        <x:v>No identified</x:v>
      </x:c>
      <x:c r="AE12" s="21" t="str">
        <x:v>No identified</x:v>
      </x:c>
      <x:c r="AF12" s="21" t="str">
        <x:v>No</x:v>
      </x:c>
      <x:c r="AG12" s="21" t="str">
        <x:v>NR</x:v>
      </x:c>
      <x:c r="AH12" s="21" t="str"/>
      <x:c r="AI12" s="21" t="str">
        <x:v>Yes</x:v>
      </x:c>
      <x:c r="AJ12" s="21" t="str">
        <x:v>No</x:v>
      </x:c>
      <x:c r="AK12" s="21" t="str">
        <x:v>No</x:v>
      </x:c>
      <x:c r="AL12" s="21" t="str">
        <x:v>Competitive MAE/RMSE for echogenicity and thickness; model then applied to 34-subject anti-aging trial</x:v>
      </x:c>
      <x:c r="AM12" s="21" t="str">
        <x:v>Independent validation is within the same overall laboratory/source population, not external-site validation.</x:v>
      </x:c>
      <x:c r="AN12" s="21" t="str">
        <x:v>https://doi.org/10.1016/j.bspc.2024.106962</x:v>
      </x:c>
      <x:c r="AO12" s="21" t="str"/>
      <x:c r="AP12" s="21" t="str"/>
      <x:c r="AQ12" s="21" t="str">
        <x:v>High</x:v>
      </x:c>
    </x:row>
    <x:row r="13">
      <x:c r="A13" s="20" t="str">
        <x:v>S12</x:v>
      </x:c>
      <x:c r="B13" s="20" t="str">
        <x:v>Slian et al.</x:v>
      </x:c>
      <x:c r="C13" s="20" t="n">
        <x:v>2025</x:v>
      </x:c>
      <x:c r="D13" s="21" t="str">
        <x:v>Segmentation of skin layers on HFUS images using the attention mechanism</x:v>
      </x:c>
      <x:c r="E13" s="21" t="str">
        <x:v>Computer Methods and Programs in Biomedicine</x:v>
      </x:c>
      <x:c r="F13" s="21" t="str">
        <x:v>10.1016/j.cmpb.2025.108668</x:v>
      </x:c>
      <x:c r="G13" s="21" t="str">
        <x:v>Technical/workflow</x:v>
      </x:c>
      <x:c r="H13" s="21" t="str">
        <x:v>Skin-layer segmentation</x:v>
      </x:c>
      <x:c r="I13" s="21" t="str">
        <x:v>HFUS; two datasets acquired with different machines</x:v>
      </x:c>
      <x:c r="J13" s="21" t="str">
        <x:v>Two HFUS systems / datasets</x:v>
      </x:c>
      <x:c r="K13" s="21" t="str">
        <x:v>NR</x:v>
      </x:c>
      <x:c r="L13" s="21" t="str">
        <x:v>NA</x:v>
      </x:c>
      <x:c r="M13" s="21" t="str">
        <x:v>NR</x:v>
      </x:c>
      <x:c r="N13" s="21" t="str">
        <x:v>Technical model-development study using two datasets</x:v>
      </x:c>
      <x:c r="O13" s="21" t="n">
        <x:v>2</x:v>
      </x:c>
      <x:c r="P13" s="21" t="str">
        <x:v>NR</x:v>
      </x:c>
      <x:c r="Q13" s="21" t="str">
        <x:v>Yes</x:v>
      </x:c>
      <x:c r="R13" s="21" t="str">
        <x:v>Entry echo, SLEB and dermis segmentation</x:v>
      </x:c>
      <x:c r="S13" s="21" t="str">
        <x:v>CFP + attention architecture</x:v>
      </x:c>
      <x:c r="T13" s="21" t="str">
        <x:v>Expert segmentation masks</x:v>
      </x:c>
      <x:c r="U13" s="21" t="str">
        <x:v>Evaluation across two HFUS databases from different machines and medical centres</x:v>
      </x:c>
      <x:c r="V13" s="21" t="str">
        <x:v>Yes</x:v>
      </x:c>
      <x:c r="W13" s="21" t="str">
        <x:v>Yes</x:v>
      </x:c>
      <x:c r="X13" s="21" t="str">
        <x:v>Yes</x:v>
      </x:c>
      <x:c r="Y13" s="21" t="str">
        <x:v>No</x:v>
      </x:c>
      <x:c r="Z13" s="21" t="str">
        <x:v>No</x:v>
      </x:c>
      <x:c r="AA13" s="21" t="str">
        <x:v>No</x:v>
      </x:c>
      <x:c r="AB13" s="21" t="str">
        <x:v>No</x:v>
      </x:c>
      <x:c r="AC13" s="21" t="str">
        <x:v>No public study-specific code repository identified</x:v>
      </x:c>
      <x:c r="AD13" s="21" t="str">
        <x:v>No identified</x:v>
      </x:c>
      <x:c r="AE13" s="21" t="str">
        <x:v>No — current study data on request</x:v>
      </x:c>
      <x:c r="AF13" s="21" t="str">
        <x:v>Yes — pretraining data public</x:v>
      </x:c>
      <x:c r="AG13" s="21" t="str">
        <x:v>Yes</x:v>
      </x:c>
      <x:c r="AH13" s="21" t="str"/>
      <x:c r="AI13" s="21" t="str">
        <x:v>Yes</x:v>
      </x:c>
      <x:c r="AJ13" s="21" t="str">
        <x:v>No</x:v>
      </x:c>
      <x:c r="AK13" s="21" t="str">
        <x:v>No</x:v>
      </x:c>
      <x:c r="AL13" s="21" t="str">
        <x:v>Dice 0.95 entry echo; 0.85 SLEB; 0.93 dermis</x:v>
      </x:c>
      <x:c r="AM13" s="21" t="str">
        <x:v>Useful cross-centre/device technical validation, but not external clinical diagnostic validation.</x:v>
      </x:c>
      <x:c r="AN13" s="21" t="str">
        <x:v>https://doi.org/10.1016/j.cmpb.2025.108668</x:v>
      </x:c>
      <x:c r="AO13" s="21" t="str"/>
      <x:c r="AP13" s="21" t="str">
        <x:v>https://data.mendeley.com/datasets/5p7fxjt7vs/1</x:v>
      </x:c>
      <x:c r="AQ13" s="21" t="str">
        <x:v>High</x:v>
      </x:c>
    </x:row>
    <x:row r="14">
      <x:c r="A14" s="20" t="str">
        <x:v>S13</x:v>
      </x:c>
      <x:c r="B14" s="20" t="str">
        <x:v>Czajkowska et al.</x:v>
      </x:c>
      <x:c r="C14" s="20" t="n">
        <x:v>2025</x:v>
      </x:c>
      <x:c r="D14" s="21" t="str">
        <x:v>The usefulness of automated high frequency ultrasound image analysis in atopic dermatitis staging</x:v>
      </x:c>
      <x:c r="E14" s="21" t="str">
        <x:v>Scientific Reports</x:v>
      </x:c>
      <x:c r="F14" s="21" t="str">
        <x:v>10.1038/s41598-024-84051-6</x:v>
      </x:c>
      <x:c r="G14" s="21" t="str">
        <x:v>Core clinical</x:v>
      </x:c>
      <x:c r="H14" s="21" t="str">
        <x:v>Atopic dermatitis staging</x:v>
      </x:c>
      <x:c r="I14" s="21" t="str">
        <x:v>HFUS 20 MHz</x:v>
      </x:c>
      <x:c r="J14" s="21" t="str">
        <x:v>NR</x:v>
      </x:c>
      <x:c r="K14" s="21" t="n">
        <x:v>80</x:v>
      </x:c>
      <x:c r="L14" s="21" t="str">
        <x:v>NA</x:v>
      </x:c>
      <x:c r="M14" s="21" t="str">
        <x:v>NR</x:v>
      </x:c>
      <x:c r="N14" s="21" t="str">
        <x:v>Observational/internal validation</x:v>
      </x:c>
      <x:c r="O14" s="21" t="n">
        <x:v>1</x:v>
      </x:c>
      <x:c r="P14" s="21" t="n">
        <x:v>1</x:v>
      </x:c>
      <x:c r="Q14" s="21" t="str">
        <x:v>No</x:v>
      </x:c>
      <x:c r="R14" s="21" t="str">
        <x:v>Automated AD staging / SLEB analysis</x:v>
      </x:c>
      <x:c r="S14" s="21" t="str">
        <x:v>Automated segmentation and classification pipeline</x:v>
      </x:c>
      <x:c r="T14" s="21" t="str">
        <x:v>Two expert assessments, repeated twice</x:v>
      </x:c>
      <x:c r="U14" s="21" t="str">
        <x:v>Internal cohort evaluation</x:v>
      </x:c>
      <x:c r="V14" s="21" t="str">
        <x:v>Yes</x:v>
      </x:c>
      <x:c r="W14" s="21" t="str">
        <x:v>No</x:v>
      </x:c>
      <x:c r="X14" s="21" t="str">
        <x:v>No</x:v>
      </x:c>
      <x:c r="Y14" s="21" t="str">
        <x:v>No</x:v>
      </x:c>
      <x:c r="Z14" s="21" t="str">
        <x:v>No</x:v>
      </x:c>
      <x:c r="AA14" s="21" t="str">
        <x:v>Yes</x:v>
      </x:c>
      <x:c r="AB14" s="21" t="str">
        <x:v>No</x:v>
      </x:c>
      <x:c r="AC14" s="21" t="str">
        <x:v>No public study-specific code repository identified</x:v>
      </x:c>
      <x:c r="AD14" s="21" t="str">
        <x:v>No identified</x:v>
      </x:c>
      <x:c r="AE14" s="21" t="str">
        <x:v>No — current data on request</x:v>
      </x:c>
      <x:c r="AF14" s="21" t="str">
        <x:v>Yes — pretraining HFUS dataset public</x:v>
      </x:c>
      <x:c r="AG14" s="21" t="str">
        <x:v>Yes</x:v>
      </x:c>
      <x:c r="AH14" s="21" t="str"/>
      <x:c r="AI14" s="21" t="str">
        <x:v>Yes</x:v>
      </x:c>
      <x:c r="AJ14" s="21" t="str">
        <x:v>No</x:v>
      </x:c>
      <x:c r="AK14" s="21" t="str">
        <x:v>No</x:v>
      </x:c>
      <x:c r="AL14" s="21" t="str">
        <x:v>Segmentation Dice 0.908 SLEB / 0.936 entry echo; SLEB presence accuracy 98%; AD staging accuracy 69%</x:v>
      </x:c>
      <x:c r="AM14" s="21" t="str">
        <x:v>Performance comparable with expert staging, but no independent external cohort.</x:v>
      </x:c>
      <x:c r="AN14" s="21" t="str">
        <x:v>https://doi.org/10.1038/s41598-024-84051-6</x:v>
      </x:c>
      <x:c r="AO14" s="21" t="str"/>
      <x:c r="AP14" s="21" t="str">
        <x:v>https://data.mendeley.com/datasets/5p7fxjt7vs/1</x:v>
      </x:c>
      <x:c r="AQ14" s="21" t="str">
        <x:v>High</x:v>
      </x:c>
    </x:row>
    <x:row r="15">
      <x:c r="A15" s="20" t="str">
        <x:v>S14</x:v>
      </x:c>
      <x:c r="B15" s="20" t="str">
        <x:v>Zhu et al.</x:v>
      </x:c>
      <x:c r="C15" s="20" t="n">
        <x:v>2024</x:v>
      </x:c>
      <x:c r="D15" s="21" t="str">
        <x:v>A deep learning fusion network trained with clinical and high-frequency ultrasound images in the multi-classification of skin diseases in comparison with dermatologists: a prospective and multicenter study</x:v>
      </x:c>
      <x:c r="E15" s="21" t="str">
        <x:v>eClinicalMedicine</x:v>
      </x:c>
      <x:c r="F15" s="21" t="str">
        <x:v>10.1016/j.eclinm.2023.102391</x:v>
      </x:c>
      <x:c r="G15" s="21" t="str">
        <x:v>Core clinical</x:v>
      </x:c>
      <x:c r="H15" s="21" t="str">
        <x:v>Benign/malignant + multiclass skin disease diagnosis</x:v>
      </x:c>
      <x:c r="I15" s="21" t="str">
        <x:v>Clinical images + HFUS</x:v>
      </x:c>
      <x:c r="J15" s="21" t="str">
        <x:v>Multicentre HFUS acquisition</x:v>
      </x:c>
      <x:c r="K15" s="21" t="str">
        <x:v>Development NR; prospective test 403</x:v>
      </x:c>
      <x:c r="L15" s="21" t="str">
        <x:v>Development 1,351; prospective test 422</x:v>
      </x:c>
      <x:c r="M15" s="21" t="str">
        <x:v>11,852 HFUS development images + 1,269 clinical images</x:v>
      </x:c>
      <x:c r="N15" s="21" t="str">
        <x:v>Prospective multicentre test after model development</x:v>
      </x:c>
      <x:c r="O15" s="21" t="n">
        <x:v>4</x:v>
      </x:c>
      <x:c r="P15" s="21" t="n">
        <x:v>1</x:v>
      </x:c>
      <x:c r="Q15" s="21" t="str">
        <x:v>Yes</x:v>
      </x:c>
      <x:c r="R15" s="21" t="str">
        <x:v>Benign/malignant and 17-class diagnosis</x:v>
      </x:c>
      <x:c r="S15" s="21" t="str">
        <x:v>Deep multimodal fusion network</x:v>
      </x:c>
      <x:c r="T15" s="21" t="str">
        <x:v>Clinical/pathologic diagnosis</x:v>
      </x:c>
      <x:c r="U15" s="21" t="str">
        <x:v>Prospective independent test cohort from four hospitals</x:v>
      </x:c>
      <x:c r="V15" s="21" t="str">
        <x:v>Yes</x:v>
      </x:c>
      <x:c r="W15" s="21" t="str">
        <x:v>Yes</x:v>
      </x:c>
      <x:c r="X15" s="21" t="str">
        <x:v>Yes</x:v>
      </x:c>
      <x:c r="Y15" s="21" t="str">
        <x:v>Yes</x:v>
      </x:c>
      <x:c r="Z15" s="21" t="str">
        <x:v>Yes</x:v>
      </x:c>
      <x:c r="AA15" s="21" t="str">
        <x:v>Yes</x:v>
      </x:c>
      <x:c r="AB15" s="21" t="str">
        <x:v>Yes</x:v>
      </x:c>
      <x:c r="AC15" s="21" t="str">
        <x:v>Repository exists but incomplete: README/.gitignore; test code and classification weights not public</x:v>
      </x:c>
      <x:c r="AD15" s="21" t="str">
        <x:v>No</x:v>
      </x:c>
      <x:c r="AE15" s="21" t="str">
        <x:v>No</x:v>
      </x:c>
      <x:c r="AF15" s="21" t="str">
        <x:v>No</x:v>
      </x:c>
      <x:c r="AG15" s="21" t="str">
        <x:v>Yes</x:v>
      </x:c>
      <x:c r="AH15" s="21" t="str"/>
      <x:c r="AI15" s="21" t="str">
        <x:v>Yes</x:v>
      </x:c>
      <x:c r="AJ15" s="21" t="str">
        <x:v>No</x:v>
      </x:c>
      <x:c r="AK15" s="21" t="str">
        <x:v>No</x:v>
      </x:c>
      <x:c r="AL15" s="21" t="str">
        <x:v>Binary benign/malignant AUC 0.876; accuracy 89.1%</x:v>
      </x:c>
      <x:c r="AM15" s="21" t="str">
        <x:v>Only clear prospective multicentre external clinical validation in the current corpus. Prospective evaluation is not the same as routine deployment.</x:v>
      </x:c>
      <x:c r="AN15" s="21" t="str">
        <x:v>https://doi.org/10.1016/j.eclinm.2023.102391</x:v>
      </x:c>
      <x:c r="AO15" s="21" t="str">
        <x:v>https://github.com/cao1124/SkinLesionClassification</x:v>
      </x:c>
      <x:c r="AP15" s="21" t="str"/>
      <x:c r="AQ15" s="21" t="str">
        <x:v>High</x:v>
      </x:c>
    </x:row>
    <x:row r="16">
      <x:c r="A16" s="20" t="str">
        <x:v>S15</x:v>
      </x:c>
      <x:c r="B16" s="20" t="str">
        <x:v>Korecka et al.</x:v>
      </x:c>
      <x:c r="C16" s="20" t="n">
        <x:v>2024</x:v>
      </x:c>
      <x:c r="D16" s="21" t="str">
        <x:v>Automatic Assessment of AK Stage Based on Dermatoscopic and HFUS Imaging—A Preliminary Study</x:v>
      </x:c>
      <x:c r="E16" s="21" t="str">
        <x:v>Journal of Clinical Medicine</x:v>
      </x:c>
      <x:c r="F16" s="21" t="str">
        <x:v>10.3390/jcm13247499</x:v>
      </x:c>
      <x:c r="G16" s="21" t="str">
        <x:v>Core clinical</x:v>
      </x:c>
      <x:c r="H16" s="21" t="str">
        <x:v>Actinic keratosis staging</x:v>
      </x:c>
      <x:c r="I16" s="21" t="str">
        <x:v>HFUS 20 MHz + dermoscopy</x:v>
      </x:c>
      <x:c r="J16" s="21" t="str">
        <x:v>DermaScan C</x:v>
      </x:c>
      <x:c r="K16" s="21" t="n">
        <x:v>54</x:v>
      </x:c>
      <x:c r="L16" s="21" t="str">
        <x:v>NR</x:v>
      </x:c>
      <x:c r="M16" s="21" t="str">
        <x:v>162 paired dermoscopy/HFUS images</x:v>
      </x:c>
      <x:c r="N16" s="21" t="str">
        <x:v>Preliminary observational model-development study</x:v>
      </x:c>
      <x:c r="O16" s="21" t="n">
        <x:v>1</x:v>
      </x:c>
      <x:c r="P16" s="21" t="n">
        <x:v>1</x:v>
      </x:c>
      <x:c r="Q16" s="21" t="str">
        <x:v>No</x:v>
      </x:c>
      <x:c r="R16" s="21" t="str">
        <x:v>AK stage classification</x:v>
      </x:c>
      <x:c r="S16" s="21" t="str">
        <x:v>Automated HFUS segmentation + handcrafted features; dermoscopy CNN/features; SVM</x:v>
      </x:c>
      <x:c r="T16" s="21" t="str">
        <x:v>Clinical/expert AK stage</x:v>
      </x:c>
      <x:c r="U16" s="21" t="str">
        <x:v>Internal evaluation on preliminary cohort</x:v>
      </x:c>
      <x:c r="V16" s="21" t="str">
        <x:v>Yes</x:v>
      </x:c>
      <x:c r="W16" s="21" t="str">
        <x:v>No</x:v>
      </x:c>
      <x:c r="X16" s="21" t="str">
        <x:v>No</x:v>
      </x:c>
      <x:c r="Y16" s="21" t="str">
        <x:v>No</x:v>
      </x:c>
      <x:c r="Z16" s="21" t="str">
        <x:v>No</x:v>
      </x:c>
      <x:c r="AA16" s="21" t="str">
        <x:v>No</x:v>
      </x:c>
      <x:c r="AB16" s="21" t="str">
        <x:v>No</x:v>
      </x:c>
      <x:c r="AC16" s="21" t="str">
        <x:v>No public study-specific code repository identified</x:v>
      </x:c>
      <x:c r="AD16" s="21" t="str">
        <x:v>No identified</x:v>
      </x:c>
      <x:c r="AE16" s="21" t="str">
        <x:v>Yes</x:v>
      </x:c>
      <x:c r="AF16" s="21" t="str">
        <x:v>No</x:v>
      </x:c>
      <x:c r="AG16" s="21" t="str">
        <x:v>No</x:v>
      </x:c>
      <x:c r="AH16" s="21" t="str">
        <x:v>AK_Mendeley</x:v>
      </x:c>
      <x:c r="AI16" s="21" t="str">
        <x:v>Yes</x:v>
      </x:c>
      <x:c r="AJ16" s="21" t="str">
        <x:v>No</x:v>
      </x:c>
      <x:c r="AK16" s="21" t="str">
        <x:v>No</x:v>
      </x:c>
      <x:c r="AL16" s="21" t="str">
        <x:v>Best dermoscopy NN accuracy 81%; combined dermoscopy+HFUS 79%</x:v>
      </x:c>
      <x:c r="AM16" s="21" t="str">
        <x:v>Source/earlier version of the AK dataset later expanded in Slian 2026.</x:v>
      </x:c>
      <x:c r="AN16" s="21" t="str">
        <x:v>https://doi.org/10.3390/jcm13247499</x:v>
      </x:c>
      <x:c r="AO16" s="21" t="str"/>
      <x:c r="AP16" s="21" t="str">
        <x:v>https://data.mendeley.com/datasets/w3x8p3bf42/3</x:v>
      </x:c>
      <x:c r="AQ16" s="21" t="str">
        <x:v>High</x:v>
      </x:c>
    </x:row>
    <x:row r="17">
      <x:c r="A17" s="20" t="str">
        <x:v>S16</x:v>
      </x:c>
      <x:c r="B17" s="20" t="str">
        <x:v>Li et al.</x:v>
      </x:c>
      <x:c r="C17" s="20" t="n">
        <x:v>2024</x:v>
      </x:c>
      <x:c r="D17" s="21" t="str">
        <x:v>Diagnosis and differentiation of Kaposiform hemangioendothelioma based on ultrasound radiomics</x:v>
      </x:c>
      <x:c r="E17" s="21" t="str">
        <x:v>American Journal of Cancer Research</x:v>
      </x:c>
      <x:c r="F17" s="21" t="str">
        <x:v>10.62347/aqsj3784</x:v>
      </x:c>
      <x:c r="G17" s="21" t="str">
        <x:v>Core clinical</x:v>
      </x:c>
      <x:c r="H17" s="21" t="str">
        <x:v>Kaposiform hemangioendothelioma diagnosis</x:v>
      </x:c>
      <x:c r="I17" s="21" t="str">
        <x:v>Conventional ultrasound radiomics</x:v>
      </x:c>
      <x:c r="J17" s="21" t="str">
        <x:v>Henan Provincial People's Hospital ultrasound</x:v>
      </x:c>
      <x:c r="K17" s="21" t="n">
        <x:v>194</x:v>
      </x:c>
      <x:c r="L17" s="21" t="str">
        <x:v>Mostly single lesions</x:v>
      </x:c>
      <x:c r="M17" s="21" t="str">
        <x:v>NR</x:v>
      </x:c>
      <x:c r="N17" s="21" t="str">
        <x:v>Retrospective</x:v>
      </x:c>
      <x:c r="O17" s="21" t="n">
        <x:v>1</x:v>
      </x:c>
      <x:c r="P17" s="21" t="n">
        <x:v>1</x:v>
      </x:c>
      <x:c r="Q17" s="21" t="str">
        <x:v>No</x:v>
      </x:c>
      <x:c r="R17" s="21" t="str">
        <x:v>KHE prediction / differential diagnosis</x:v>
      </x:c>
      <x:c r="S17" s="21" t="str">
        <x:v>Ultrasound radiomics prediction model</x:v>
      </x:c>
      <x:c r="T17" s="21" t="str">
        <x:v>Pathologic biopsy</x:v>
      </x:c>
      <x:c r="U17" s="21" t="str">
        <x:v>KHE cases split 7:3 training/validation</x:v>
      </x:c>
      <x:c r="V17" s="21" t="str">
        <x:v>Yes</x:v>
      </x:c>
      <x:c r="W17" s="21" t="str">
        <x:v>No</x:v>
      </x:c>
      <x:c r="X17" s="21" t="str">
        <x:v>No</x:v>
      </x:c>
      <x:c r="Y17" s="21" t="str">
        <x:v>No</x:v>
      </x:c>
      <x:c r="Z17" s="21" t="str">
        <x:v>No</x:v>
      </x:c>
      <x:c r="AA17" s="21" t="str">
        <x:v>No</x:v>
      </x:c>
      <x:c r="AB17" s="21" t="str">
        <x:v>No</x:v>
      </x:c>
      <x:c r="AC17" s="21" t="str">
        <x:v>No public study-specific repository identified</x:v>
      </x:c>
      <x:c r="AD17" s="21" t="str">
        <x:v>No identified</x:v>
      </x:c>
      <x:c r="AE17" s="21" t="str">
        <x:v>No identified</x:v>
      </x:c>
      <x:c r="AF17" s="21" t="str">
        <x:v>No</x:v>
      </x:c>
      <x:c r="AG17" s="21" t="str">
        <x:v>NR</x:v>
      </x:c>
      <x:c r="AH17" s="21" t="str"/>
      <x:c r="AI17" s="21" t="str">
        <x:v>Yes</x:v>
      </x:c>
      <x:c r="AJ17" s="21" t="str">
        <x:v>No</x:v>
      </x:c>
      <x:c r="AK17" s="21" t="str">
        <x:v>No</x:v>
      </x:c>
      <x:c r="AL17" s="21" t="str">
        <x:v>Accuracy 91.41%; sensitivity 77.44%; specificity 97.21%</x:v>
      </x:c>
      <x:c r="AM17" s="21" t="str">
        <x:v>Single-hospital retrospective radiomics model; internal split only.</x:v>
      </x:c>
      <x:c r="AN17" s="21" t="str">
        <x:v>https://doi.org/10.62347/aqsj3784</x:v>
      </x:c>
      <x:c r="AO17" s="21" t="str"/>
      <x:c r="AP17" s="21" t="str"/>
      <x:c r="AQ17" s="21" t="str">
        <x:v>High</x:v>
      </x:c>
    </x:row>
    <x:row r="18">
      <x:c r="A18" s="20" t="str">
        <x:v>S17</x:v>
      </x:c>
      <x:c r="B18" s="20" t="str">
        <x:v>Surkov et al.</x:v>
      </x:c>
      <x:c r="C18" s="20" t="n">
        <x:v>2024</x:v>
      </x:c>
      <x:c r="D18" s="21" t="str">
        <x:v>Multimodal Method for Differentiating Various Clinical Forms of Basal Cell Carcinoma and Benign Neoplasms In Vivo</x:v>
      </x:c>
      <x:c r="E18" s="21" t="str">
        <x:v>Diagnostics</x:v>
      </x:c>
      <x:c r="F18" s="21" t="str">
        <x:v>10.3390/diagnostics14020202</x:v>
      </x:c>
      <x:c r="G18" s="21" t="str">
        <x:v>Core clinical</x:v>
      </x:c>
      <x:c r="H18" s="21" t="str">
        <x:v>BCC subtype / benign-neoplasm differentiation</x:v>
      </x:c>
      <x:c r="I18" s="21" t="str">
        <x:v>HFUS 33 and 75 MHz + OCT + DRS</x:v>
      </x:c>
      <x:c r="J18" s="21" t="str">
        <x:v>DUB SkinScanner</x:v>
      </x:c>
      <x:c r="K18" s="21" t="str">
        <x:v>NR</x:v>
      </x:c>
      <x:c r="L18" s="21" t="n">
        <x:v>37</x:v>
      </x:c>
      <x:c r="M18" s="21" t="str">
        <x:v>NR</x:v>
      </x:c>
      <x:c r="N18" s="21" t="str">
        <x:v>Observational multimodal model-development study</x:v>
      </x:c>
      <x:c r="O18" s="21" t="n">
        <x:v>1</x:v>
      </x:c>
      <x:c r="P18" s="21" t="n">
        <x:v>1</x:v>
      </x:c>
      <x:c r="Q18" s="21" t="str">
        <x:v>No</x:v>
      </x:c>
      <x:c r="R18" s="21" t="str">
        <x:v>Six-class BCC/benign classification and BCC-vs-benign classification</x:v>
      </x:c>
      <x:c r="S18" s="21" t="str">
        <x:v>Machine-learning classifier on multimodal quantitative features</x:v>
      </x:c>
      <x:c r="T18" s="21" t="str">
        <x:v>Clinical/pathologic lesion diagnosis</x:v>
      </x:c>
      <x:c r="U18" s="21" t="str">
        <x:v>Internal evaluation on 37 neoplasms</x:v>
      </x:c>
      <x:c r="V18" s="21" t="str">
        <x:v>Yes</x:v>
      </x:c>
      <x:c r="W18" s="21" t="str">
        <x:v>No</x:v>
      </x:c>
      <x:c r="X18" s="21" t="str">
        <x:v>No</x:v>
      </x:c>
      <x:c r="Y18" s="21" t="str">
        <x:v>No</x:v>
      </x:c>
      <x:c r="Z18" s="21" t="str">
        <x:v>No</x:v>
      </x:c>
      <x:c r="AA18" s="21" t="str">
        <x:v>No</x:v>
      </x:c>
      <x:c r="AB18" s="21" t="str">
        <x:v>No</x:v>
      </x:c>
      <x:c r="AC18" s="21" t="str">
        <x:v>No public study-specific code repository identified</x:v>
      </x:c>
      <x:c r="AD18" s="21" t="str">
        <x:v>No identified</x:v>
      </x:c>
      <x:c r="AE18" s="21" t="str">
        <x:v>No identified</x:v>
      </x:c>
      <x:c r="AF18" s="21" t="str">
        <x:v>No</x:v>
      </x:c>
      <x:c r="AG18" s="21" t="str">
        <x:v>NR</x:v>
      </x:c>
      <x:c r="AH18" s="21" t="str"/>
      <x:c r="AI18" s="21" t="str">
        <x:v>Unclear</x:v>
      </x:c>
      <x:c r="AJ18" s="21" t="str">
        <x:v>No</x:v>
      </x:c>
      <x:c r="AK18" s="21" t="str">
        <x:v>No</x:v>
      </x:c>
      <x:c r="AL18" s="21" t="str">
        <x:v>BCC vs benign: sensitivity 89.1%; specificity 95.1%; F1 89.3%</x:v>
      </x:c>
      <x:c r="AM18" s="21" t="str">
        <x:v>Small cohort. Same research group/modalities as Serebryakova 2026; possible dataset lineage not yet confirmed.</x:v>
      </x:c>
      <x:c r="AN18" s="21" t="str">
        <x:v>https://doi.org/10.3390/diagnostics14020202</x:v>
      </x:c>
      <x:c r="AO18" s="21" t="str"/>
      <x:c r="AP18" s="21" t="str"/>
      <x:c r="AQ18" s="21" t="str">
        <x:v>High</x:v>
      </x:c>
    </x:row>
    <x:row r="19">
      <x:c r="A19" s="20" t="str">
        <x:v>S18</x:v>
      </x:c>
      <x:c r="B19" s="20" t="str">
        <x:v>Lee et al.</x:v>
      </x:c>
      <x:c r="C19" s="20" t="n">
        <x:v>2023</x:v>
      </x:c>
      <x:c r="D19" s="21" t="str">
        <x:v>Deep Learning-Based Evaluation of Ultrasound Images for Benign Skin Tumors</x:v>
      </x:c>
      <x:c r="E19" s="21" t="str">
        <x:v>Sensors</x:v>
      </x:c>
      <x:c r="F19" s="21" t="str">
        <x:v>10.3390/s23177374</x:v>
      </x:c>
      <x:c r="G19" s="21" t="str">
        <x:v>Core clinical</x:v>
      </x:c>
      <x:c r="H19" s="21" t="str">
        <x:v>Benign skin-tumor classification</x:v>
      </x:c>
      <x:c r="I19" s="21" t="str">
        <x:v>Ultrasound images</x:v>
      </x:c>
      <x:c r="J19" s="21" t="str">
        <x:v>Severance Hospital ultrasound dataset</x:v>
      </x:c>
      <x:c r="K19" s="21" t="n">
        <x:v>250</x:v>
      </x:c>
      <x:c r="L19" s="21" t="str">
        <x:v>NR</x:v>
      </x:c>
      <x:c r="M19" s="21" t="n">
        <x:v>698</x:v>
      </x:c>
      <x:c r="N19" s="21" t="str">
        <x:v>Retrospective</x:v>
      </x:c>
      <x:c r="O19" s="21" t="n">
        <x:v>1</x:v>
      </x:c>
      <x:c r="P19" s="21" t="n">
        <x:v>1</x:v>
      </x:c>
      <x:c r="Q19" s="21" t="str">
        <x:v>No</x:v>
      </x:c>
      <x:c r="R19" s="21" t="str">
        <x:v>Epidermal cyst / lipoma / pilomatricoma classification</x:v>
      </x:c>
      <x:c r="S19" s="21" t="str">
        <x:v>Residual + attention-gated CNN</x:v>
      </x:c>
      <x:c r="T19" s="21" t="str">
        <x:v>Histopathology</x:v>
      </x:c>
      <x:c r="U19" s="21" t="str">
        <x:v>5-fold cross-validation</x:v>
      </x:c>
      <x:c r="V19" s="21" t="str">
        <x:v>Yes</x:v>
      </x:c>
      <x:c r="W19" s="21" t="str">
        <x:v>No</x:v>
      </x:c>
      <x:c r="X19" s="21" t="str">
        <x:v>No</x:v>
      </x:c>
      <x:c r="Y19" s="21" t="str">
        <x:v>No</x:v>
      </x:c>
      <x:c r="Z19" s="21" t="str">
        <x:v>No</x:v>
      </x:c>
      <x:c r="AA19" s="21" t="str">
        <x:v>No</x:v>
      </x:c>
      <x:c r="AB19" s="21" t="str">
        <x:v>No</x:v>
      </x:c>
      <x:c r="AC19" s="21" t="str">
        <x:v>No public study-specific repository identified</x:v>
      </x:c>
      <x:c r="AD19" s="21" t="str">
        <x:v>No identified</x:v>
      </x:c>
      <x:c r="AE19" s="21" t="str">
        <x:v>No identified</x:v>
      </x:c>
      <x:c r="AF19" s="21" t="str">
        <x:v>No</x:v>
      </x:c>
      <x:c r="AG19" s="21" t="str">
        <x:v>NR</x:v>
      </x:c>
      <x:c r="AH19" s="21" t="str"/>
      <x:c r="AI19" s="21" t="str">
        <x:v>Yes</x:v>
      </x:c>
      <x:c r="AJ19" s="21" t="str">
        <x:v>No</x:v>
      </x:c>
      <x:c r="AK19" s="21" t="str">
        <x:v>No</x:v>
      </x:c>
      <x:c r="AL19" s="21" t="str">
        <x:v>Accuracy 95.87%; sensitivity 90.10%; specificity 96.23%</x:v>
      </x:c>
      <x:c r="AM19" s="21" t="str">
        <x:v>Single-centre retrospective image study; no independent external validation.</x:v>
      </x:c>
      <x:c r="AN19" s="21" t="str">
        <x:v>https://doi.org/10.3390/s23177374</x:v>
      </x:c>
      <x:c r="AO19" s="21" t="str"/>
      <x:c r="AP19" s="21" t="str"/>
      <x:c r="AQ19" s="21" t="str">
        <x:v>High</x:v>
      </x:c>
    </x:row>
    <x:row r="20">
      <x:c r="A20" s="20" t="str">
        <x:v>S19</x:v>
      </x:c>
      <x:c r="B20" s="20" t="str">
        <x:v>Feng et al.</x:v>
      </x:c>
      <x:c r="C20" s="20" t="n">
        <x:v>2022</x:v>
      </x:c>
      <x:c r="D20" s="21" t="str">
        <x:v>A Machine Learning Applied Diagnosis Method for Subcutaneous Cyst by Ultrasonography</x:v>
      </x:c>
      <x:c r="E20" s="21" t="str">
        <x:v>Oxidative Medicine and Cellular Longevity</x:v>
      </x:c>
      <x:c r="F20" s="21" t="str">
        <x:v>10.1155/2022/1526540</x:v>
      </x:c>
      <x:c r="G20" s="21" t="str">
        <x:v>Core clinical</x:v>
      </x:c>
      <x:c r="H20" s="21" t="str">
        <x:v>Subcutaneous cyst diagnosis</x:v>
      </x:c>
      <x:c r="I20" s="21" t="str">
        <x:v>Ultrasonography + clinical features</x:v>
      </x:c>
      <x:c r="J20" s="21" t="str">
        <x:v>Hunan Provincial People's Hospital</x:v>
      </x:c>
      <x:c r="K20" s="21" t="str">
        <x:v>132–133 reported across abstract/full text</x:v>
      </x:c>
      <x:c r="L20" s="21" t="str">
        <x:v>Subcutaneous cyst cases</x:v>
      </x:c>
      <x:c r="M20" s="21" t="str">
        <x:v>Five US images per patient</x:v>
      </x:c>
      <x:c r="N20" s="21" t="str">
        <x:v>Single-centre observational model-development study</x:v>
      </x:c>
      <x:c r="O20" s="21" t="n">
        <x:v>1</x:v>
      </x:c>
      <x:c r="P20" s="21" t="n">
        <x:v>1</x:v>
      </x:c>
      <x:c r="Q20" s="21" t="str">
        <x:v>No</x:v>
      </x:c>
      <x:c r="R20" s="21" t="str">
        <x:v>Subcutaneous cyst diagnostic prediction</x:v>
      </x:c>
      <x:c r="S20" s="21" t="str">
        <x:v>DT, SVM, KNN, neural network</x:v>
      </x:c>
      <x:c r="T20" s="21" t="str">
        <x:v>Clinical diagnosis/reference labels</x:v>
      </x:c>
      <x:c r="U20" s="21" t="str">
        <x:v>70/30 train-test split</x:v>
      </x:c>
      <x:c r="V20" s="21" t="str">
        <x:v>Yes</x:v>
      </x:c>
      <x:c r="W20" s="21" t="str">
        <x:v>No</x:v>
      </x:c>
      <x:c r="X20" s="21" t="str">
        <x:v>No</x:v>
      </x:c>
      <x:c r="Y20" s="21" t="str">
        <x:v>No</x:v>
      </x:c>
      <x:c r="Z20" s="21" t="str">
        <x:v>No</x:v>
      </x:c>
      <x:c r="AA20" s="21" t="str">
        <x:v>No</x:v>
      </x:c>
      <x:c r="AB20" s="21" t="str">
        <x:v>No</x:v>
      </x:c>
      <x:c r="AC20" s="21" t="str">
        <x:v>No public study-specific repository identified</x:v>
      </x:c>
      <x:c r="AD20" s="21" t="str">
        <x:v>No identified</x:v>
      </x:c>
      <x:c r="AE20" s="21" t="str">
        <x:v>No identified</x:v>
      </x:c>
      <x:c r="AF20" s="21" t="str">
        <x:v>No</x:v>
      </x:c>
      <x:c r="AG20" s="21" t="str">
        <x:v>NR</x:v>
      </x:c>
      <x:c r="AH20" s="21" t="str"/>
      <x:c r="AI20" s="21" t="str">
        <x:v>Yes</x:v>
      </x:c>
      <x:c r="AJ20" s="21" t="str">
        <x:v>No</x:v>
      </x:c>
      <x:c r="AK20" s="21" t="str">
        <x:v>No</x:v>
      </x:c>
      <x:c r="AL20" s="21" t="str">
        <x:v>SVM reported 91.7–100% accuracy depending on target</x:v>
      </x:c>
      <x:c r="AM20" s="21" t="str">
        <x:v>Authors explicitly call for external prospective validation.</x:v>
      </x:c>
      <x:c r="AN20" s="21" t="str">
        <x:v>https://doi.org/10.1155/2022/1526540</x:v>
      </x:c>
      <x:c r="AO20" s="21" t="str"/>
      <x:c r="AP20" s="21" t="str"/>
      <x:c r="AQ20" s="21" t="str">
        <x:v>High</x:v>
      </x:c>
    </x:row>
    <x:row r="21">
      <x:c r="A21" s="20" t="str">
        <x:v>S20</x:v>
      </x:c>
      <x:c r="B21" s="20" t="str">
        <x:v>Lee et al.</x:v>
      </x:c>
      <x:c r="C21" s="20" t="n">
        <x:v>2022</x:v>
      </x:c>
      <x:c r="D21" s="21" t="str">
        <x:v>Analysis of facial ultrasonography images based on deep learning</x:v>
      </x:c>
      <x:c r="E21" s="21" t="str">
        <x:v>Scientific Reports</x:v>
      </x:c>
      <x:c r="F21" s="21" t="str">
        <x:v>10.1038/s41598-022-20969-z</x:v>
      </x:c>
      <x:c r="G21" s="21" t="str">
        <x:v>Technical/workflow</x:v>
      </x:c>
      <x:c r="H21" s="21" t="str">
        <x:v>Facial anatomic-region classification</x:v>
      </x:c>
      <x:c r="I21" s="21" t="str">
        <x:v>Facial ultrasonography</x:v>
      </x:c>
      <x:c r="J21" s="21" t="str">
        <x:v>NR</x:v>
      </x:c>
      <x:c r="K21" s="21" t="n">
        <x:v>86</x:v>
      </x:c>
      <x:c r="L21" s="21" t="str">
        <x:v>NA</x:v>
      </x:c>
      <x:c r="M21" s="21" t="str">
        <x:v>Images from nine facial regions</x:v>
      </x:c>
      <x:c r="N21" s="21" t="str">
        <x:v>Cross-sectional deep-learning study</x:v>
      </x:c>
      <x:c r="O21" s="21" t="n">
        <x:v>1</x:v>
      </x:c>
      <x:c r="P21" s="21" t="n">
        <x:v>1</x:v>
      </x:c>
      <x:c r="Q21" s="21" t="str">
        <x:v>No</x:v>
      </x:c>
      <x:c r="R21" s="21" t="str">
        <x:v>Facial region classification</x:v>
      </x:c>
      <x:c r="S21" s="21" t="str">
        <x:v>15 transfer-learning CNNs; VGG best</x:v>
      </x:c>
      <x:c r="T21" s="21" t="str">
        <x:v>Anatomic region labels</x:v>
      </x:c>
      <x:c r="U21" s="21" t="str">
        <x:v>Internal train/validation/test evaluation</x:v>
      </x:c>
      <x:c r="V21" s="21" t="str">
        <x:v>Yes</x:v>
      </x:c>
      <x:c r="W21" s="21" t="str">
        <x:v>No</x:v>
      </x:c>
      <x:c r="X21" s="21" t="str">
        <x:v>No</x:v>
      </x:c>
      <x:c r="Y21" s="21" t="str">
        <x:v>No</x:v>
      </x:c>
      <x:c r="Z21" s="21" t="str">
        <x:v>No</x:v>
      </x:c>
      <x:c r="AA21" s="21" t="str">
        <x:v>No</x:v>
      </x:c>
      <x:c r="AB21" s="21" t="str">
        <x:v>No</x:v>
      </x:c>
      <x:c r="AC21" s="21" t="str">
        <x:v>No public study-specific repository identified</x:v>
      </x:c>
      <x:c r="AD21" s="21" t="str">
        <x:v>No identified</x:v>
      </x:c>
      <x:c r="AE21" s="21" t="str">
        <x:v>No identified</x:v>
      </x:c>
      <x:c r="AF21" s="21" t="str">
        <x:v>No</x:v>
      </x:c>
      <x:c r="AG21" s="21" t="str">
        <x:v>NR</x:v>
      </x:c>
      <x:c r="AH21" s="21" t="str"/>
      <x:c r="AI21" s="21" t="str">
        <x:v>Yes</x:v>
      </x:c>
      <x:c r="AJ21" s="21" t="str">
        <x:v>No</x:v>
      </x:c>
      <x:c r="AK21" s="21" t="str">
        <x:v>No</x:v>
      </x:c>
      <x:c r="AL21" s="21" t="str">
        <x:v>Best average F-score ~93%</x:v>
      </x:c>
      <x:c r="AM21" s="21" t="str">
        <x:v>Technical/anatomic classification rather than disease diagnosis.</x:v>
      </x:c>
      <x:c r="AN21" s="21" t="str">
        <x:v>https://doi.org/10.1038/s41598-022-20969-z</x:v>
      </x:c>
      <x:c r="AO21" s="21" t="str"/>
      <x:c r="AP21" s="21" t="str"/>
      <x:c r="AQ21" s="21" t="str">
        <x:v>High</x:v>
      </x:c>
    </x:row>
    <x:row r="22">
      <x:c r="A22" s="20" t="str">
        <x:v>S21</x:v>
      </x:c>
      <x:c r="B22" s="20" t="str">
        <x:v>Czajkowska et al.</x:v>
      </x:c>
      <x:c r="C22" s="20" t="n">
        <x:v>2022</x:v>
      </x:c>
      <x:c r="D22" s="21" t="str">
        <x:v>Automated segmentation of epidermis in high-frequency ultrasound of pathological skin using a cascade of DeepLab v3+ networks and fuzzy connectedness</x:v>
      </x:c>
      <x:c r="E22" s="21" t="str">
        <x:v>Computerized Medical Imaging and Graphics</x:v>
      </x:c>
      <x:c r="F22" s="21" t="str">
        <x:v>10.1016/j.compmedimag.2021.102023</x:v>
      </x:c>
      <x:c r="G22" s="21" t="str">
        <x:v>Technical/workflow</x:v>
      </x:c>
      <x:c r="H22" s="21" t="str">
        <x:v>Epidermis segmentation in pathological skin</x:v>
      </x:c>
      <x:c r="I22" s="21" t="str">
        <x:v>HFUS 75 MHz</x:v>
      </x:c>
      <x:c r="J22" s="21" t="str">
        <x:v>DUB SkinScanner lineage</x:v>
      </x:c>
      <x:c r="K22" s="21" t="str">
        <x:v>NR</x:v>
      </x:c>
      <x:c r="L22" s="21" t="str">
        <x:v>AD, psoriasis and non-melanocytic tumors</x:v>
      </x:c>
      <x:c r="M22" s="21" t="n">
        <x:v>580</x:v>
      </x:c>
      <x:c r="N22" s="21" t="str">
        <x:v>Technical/model-development study</x:v>
      </x:c>
      <x:c r="O22" s="21" t="n">
        <x:v>1</x:v>
      </x:c>
      <x:c r="P22" s="21" t="n">
        <x:v>1</x:v>
      </x:c>
      <x:c r="Q22" s="21" t="str">
        <x:v>No</x:v>
      </x:c>
      <x:c r="R22" s="21" t="str">
        <x:v>Epidermis segmentation</x:v>
      </x:c>
      <x:c r="S22" s="21" t="str">
        <x:v>Cascade of two DeepLab v3+ ResNet-50 networks + fuzzy connectedness</x:v>
      </x:c>
      <x:c r="T22" s="21" t="str">
        <x:v>Expert segmentation masks</x:v>
      </x:c>
      <x:c r="U22" s="21" t="str">
        <x:v>Internal dataset evaluation</x:v>
      </x:c>
      <x:c r="V22" s="21" t="str">
        <x:v>Yes</x:v>
      </x:c>
      <x:c r="W22" s="21" t="str">
        <x:v>No</x:v>
      </x:c>
      <x:c r="X22" s="21" t="str">
        <x:v>No</x:v>
      </x:c>
      <x:c r="Y22" s="21" t="str">
        <x:v>No</x:v>
      </x:c>
      <x:c r="Z22" s="21" t="str">
        <x:v>No</x:v>
      </x:c>
      <x:c r="AA22" s="21" t="str">
        <x:v>No</x:v>
      </x:c>
      <x:c r="AB22" s="21" t="str">
        <x:v>No</x:v>
      </x:c>
      <x:c r="AC22" s="21" t="str">
        <x:v>No public study-specific repository identified</x:v>
      </x:c>
      <x:c r="AD22" s="21" t="str">
        <x:v>No identified</x:v>
      </x:c>
      <x:c r="AE22" s="21" t="str">
        <x:v>Partial</x:v>
      </x:c>
      <x:c r="AF22" s="21" t="str">
        <x:v>Yes — 380-image inflammatory subset public</x:v>
      </x:c>
      <x:c r="AG22" s="21" t="str">
        <x:v>NR</x:v>
      </x:c>
      <x:c r="AH22" s="21" t="str">
        <x:v>Polish_75MHz</x:v>
      </x:c>
      <x:c r="AI22" s="21" t="str">
        <x:v>No</x:v>
      </x:c>
      <x:c r="AJ22" s="21" t="str">
        <x:v>No</x:v>
      </x:c>
      <x:c r="AK22" s="21" t="str">
        <x:v>No</x:v>
      </x:c>
      <x:c r="AL22" s="21" t="str">
        <x:v>Overall Dice 0.919</x:v>
      </x:c>
      <x:c r="AM22" s="21" t="str">
        <x:v>Contains substantial overlap with the public 380-patient inflammatory HFUS cohort, plus additional tumor images.</x:v>
      </x:c>
      <x:c r="AN22" s="21" t="str">
        <x:v>https://doi.org/10.1016/j.compmedimag.2021.102023</x:v>
      </x:c>
      <x:c r="AO22" s="21" t="str"/>
      <x:c r="AP22" s="21" t="str">
        <x:v>https://data.mendeley.com/datasets/5p7fxjt7vs/1</x:v>
      </x:c>
      <x:c r="AQ22" s="21" t="str">
        <x:v>High</x:v>
      </x:c>
    </x:row>
    <x:row r="23">
      <x:c r="A23" s="20" t="str">
        <x:v>S22</x:v>
      </x:c>
      <x:c r="B23" s="20" t="str">
        <x:v>Laverde-Saad et al.</x:v>
      </x:c>
      <x:c r="C23" s="20" t="n">
        <x:v>2022</x:v>
      </x:c>
      <x:c r="D23" s="21" t="str">
        <x:v>Discriminative deep learning based benignity/malignancy diagnosis of dermatologic ultrasound skin lesions with pretrained artificial intelligence architecture</x:v>
      </x:c>
      <x:c r="E23" s="21" t="str">
        <x:v>Skin Research and Technology</x:v>
      </x:c>
      <x:c r="F23" s="21" t="str">
        <x:v>10.1111/srt.13086</x:v>
      </x:c>
      <x:c r="G23" s="21" t="str">
        <x:v>Core clinical</x:v>
      </x:c>
      <x:c r="H23" s="21" t="str">
        <x:v>Benign vs malignant skin lesions</x:v>
      </x:c>
      <x:c r="I23" s="21" t="str">
        <x:v>Dermatologic ultrasound / color Doppler</x:v>
      </x:c>
      <x:c r="J23" s="21" t="str">
        <x:v>Single ultrasound machine for image homogeneity</x:v>
      </x:c>
      <x:c r="K23" s="21" t="n">
        <x:v>235</x:v>
      </x:c>
      <x:c r="L23" s="21" t="n">
        <x:v>235</x:v>
      </x:c>
      <x:c r="M23" s="21" t="str">
        <x:v>235 development + 35 additional test images</x:v>
      </x:c>
      <x:c r="N23" s="21" t="str">
        <x:v>Retrospective</x:v>
      </x:c>
      <x:c r="O23" s="21" t="n">
        <x:v>1</x:v>
      </x:c>
      <x:c r="P23" s="21" t="n">
        <x:v>1</x:v>
      </x:c>
      <x:c r="Q23" s="21" t="str">
        <x:v>No</x:v>
      </x:c>
      <x:c r="R23" s="21" t="str">
        <x:v>Benign/malignant classification</x:v>
      </x:c>
      <x:c r="S23" s="21" t="str">
        <x:v>EfficientNet-B4 using commercial Peltarion platform</x:v>
      </x:c>
      <x:c r="T23" s="21" t="str">
        <x:v>Histopathology</x:v>
      </x:c>
      <x:c r="U23" s="21" t="str">
        <x:v>Internal train/validation + 35 unseen images from same institutional database</x:v>
      </x:c>
      <x:c r="V23" s="21" t="str">
        <x:v>Yes</x:v>
      </x:c>
      <x:c r="W23" s="21" t="str">
        <x:v>No — same institutional database</x:v>
      </x:c>
      <x:c r="X23" s="21" t="str">
        <x:v>No</x:v>
      </x:c>
      <x:c r="Y23" s="21" t="str">
        <x:v>No</x:v>
      </x:c>
      <x:c r="Z23" s="21" t="str">
        <x:v>No</x:v>
      </x:c>
      <x:c r="AA23" s="21" t="str">
        <x:v>Yes</x:v>
      </x:c>
      <x:c r="AB23" s="21" t="str">
        <x:v>No</x:v>
      </x:c>
      <x:c r="AC23" s="21" t="str">
        <x:v>Original model code/weights not open</x:v>
      </x:c>
      <x:c r="AD23" s="21" t="str">
        <x:v>No</x:v>
      </x:c>
      <x:c r="AE23" s="21" t="str">
        <x:v>Yes</x:v>
      </x:c>
      <x:c r="AF23" s="21" t="str">
        <x:v>No</x:v>
      </x:c>
      <x:c r="AG23" s="21" t="str">
        <x:v>No</x:v>
      </x:c>
      <x:c r="AH23" s="21" t="str">
        <x:v>Laverde_Kaggle</x:v>
      </x:c>
      <x:c r="AI23" s="21" t="str">
        <x:v>Yes</x:v>
      </x:c>
      <x:c r="AJ23" s="21" t="str">
        <x:v>No</x:v>
      </x:c>
      <x:c r="AK23" s="21" t="str">
        <x:v>No</x:v>
      </x:c>
      <x:c r="AL23" s="21" t="str">
        <x:v>AI accuracy 77.1% vs expert 74.1%; difference not statistically significant</x:v>
      </x:c>
      <x:c r="AM23" s="21" t="str">
        <x:v>Test images were from the same institutional database and all scans used one machine; therefore not external validation. Dataset later became public.</x:v>
      </x:c>
      <x:c r="AN23" s="21" t="str">
        <x:v>https://doi.org/10.1111/srt.13086</x:v>
      </x:c>
      <x:c r="AO23" s="21" t="str"/>
      <x:c r="AP23" s="21" t="str">
        <x:v>https://www.kaggle.com/datasets/alfageme/dermatologic-ultrasound-images</x:v>
      </x:c>
      <x:c r="AQ23" s="21" t="str">
        <x:v>High</x:v>
      </x:c>
    </x:row>
    <x:row r="24">
      <x:c r="A24" s="20" t="str">
        <x:v>S23</x:v>
      </x:c>
      <x:c r="B24" s="20" t="str">
        <x:v>Czajkowska et al.</x:v>
      </x:c>
      <x:c r="C24" s="20" t="n">
        <x:v>2022</x:v>
      </x:c>
      <x:c r="D24" s="21" t="str">
        <x:v>High-Frequency Ultrasound Dataset for Deep Learning-Based Image Quality Assessment</x:v>
      </x:c>
      <x:c r="E24" s="21" t="str">
        <x:v>Sensors</x:v>
      </x:c>
      <x:c r="F24" s="21" t="str">
        <x:v>10.3390/s22041478</x:v>
      </x:c>
      <x:c r="G24" s="21" t="str">
        <x:v>Technical/workflow</x:v>
      </x:c>
      <x:c r="H24" s="21" t="str">
        <x:v>HFUS image-quality assessment</x:v>
      </x:c>
      <x:c r="I24" s="21" t="str">
        <x:v>HFUS facial skin</x:v>
      </x:c>
      <x:c r="J24" s="21" t="str">
        <x:v>HFUS facial-skin acquisition</x:v>
      </x:c>
      <x:c r="K24" s="21" t="n">
        <x:v>44</x:v>
      </x:c>
      <x:c r="L24" s="21" t="str">
        <x:v>NA</x:v>
      </x:c>
      <x:c r="M24" s="21" t="n">
        <x:v>17425</x:v>
      </x:c>
      <x:c r="N24" s="21" t="str">
        <x:v>Technical dataset/model-development study</x:v>
      </x:c>
      <x:c r="O24" s="21" t="n">
        <x:v>1</x:v>
      </x:c>
      <x:c r="P24" s="21" t="n">
        <x:v>1</x:v>
      </x:c>
      <x:c r="Q24" s="21" t="str">
        <x:v>No</x:v>
      </x:c>
      <x:c r="R24" s="21" t="str">
        <x:v>Image-quality classification</x:v>
      </x:c>
      <x:c r="S24" s="21" t="str">
        <x:v>VGG-16-based DL + fuzzy reasoning</x:v>
      </x:c>
      <x:c r="T24" s="21" t="str">
        <x:v>Two expert quality annotations</x:v>
      </x:c>
      <x:c r="U24" s="21" t="str">
        <x:v>Internal evaluation</x:v>
      </x:c>
      <x:c r="V24" s="21" t="str">
        <x:v>Yes</x:v>
      </x:c>
      <x:c r="W24" s="21" t="str">
        <x:v>No</x:v>
      </x:c>
      <x:c r="X24" s="21" t="str">
        <x:v>No</x:v>
      </x:c>
      <x:c r="Y24" s="21" t="str">
        <x:v>No</x:v>
      </x:c>
      <x:c r="Z24" s="21" t="str">
        <x:v>No</x:v>
      </x:c>
      <x:c r="AA24" s="21" t="str">
        <x:v>Yes</x:v>
      </x:c>
      <x:c r="AB24" s="21" t="str">
        <x:v>No</x:v>
      </x:c>
      <x:c r="AC24" s="21" t="str">
        <x:v>No public study-specific code repository identified</x:v>
      </x:c>
      <x:c r="AD24" s="21" t="str">
        <x:v>No identified</x:v>
      </x:c>
      <x:c r="AE24" s="21" t="str">
        <x:v>Yes</x:v>
      </x:c>
      <x:c r="AF24" s="21" t="str">
        <x:v>No</x:v>
      </x:c>
      <x:c r="AG24" s="21" t="str">
        <x:v>No</x:v>
      </x:c>
      <x:c r="AH24" s="21" t="str"/>
      <x:c r="AI24" s="21" t="str">
        <x:v>Yes</x:v>
      </x:c>
      <x:c r="AJ24" s="21" t="str">
        <x:v>No</x:v>
      </x:c>
      <x:c r="AK24" s="21" t="str">
        <x:v>No</x:v>
      </x:c>
      <x:c r="AL24" s="21" t="str">
        <x:v>Binary accuracy 91.7%; multiclass accuracy 82.3%</x:v>
      </x:c>
      <x:c r="AM24" s="21" t="str">
        <x:v>Quality-control/technical study; not a disease diagnostic model.</x:v>
      </x:c>
      <x:c r="AN24" s="21" t="str">
        <x:v>https://doi.org/10.3390/s22041478</x:v>
      </x:c>
      <x:c r="AO24" s="21" t="str"/>
      <x:c r="AP24" s="21" t="str">
        <x:v>https://data.mendeley.com/datasets/td8r3ty79b/1</x:v>
      </x:c>
      <x:c r="AQ24" s="21" t="str">
        <x:v>High</x:v>
      </x:c>
    </x:row>
    <x:row r="25">
      <x:c r="A25" s="20" t="str">
        <x:v>S24</x:v>
      </x:c>
      <x:c r="B25" s="20" t="str">
        <x:v>Bandari et al.</x:v>
      </x:c>
      <x:c r="C25" s="20" t="n">
        <x:v>2022</x:v>
      </x:c>
      <x:c r="D25" s="21" t="str">
        <x:v>Machine Learning Decision Support for Detecting Lipohypertrophy With Bedside Ultrasound: Proof-of-Concept Study</x:v>
      </x:c>
      <x:c r="E25" s="21" t="str">
        <x:v>JMIR Formative Research</x:v>
      </x:c>
      <x:c r="F25" s="21" t="str">
        <x:v>10.2196/34830</x:v>
      </x:c>
      <x:c r="G25" s="21" t="str">
        <x:v>Cutaneous metabolic</x:v>
      </x:c>
      <x:c r="H25" s="21" t="str">
        <x:v>Lipohypertrophy detection</x:v>
      </x:c>
      <x:c r="I25" s="21" t="str">
        <x:v>Bedside ultrasound, 5–18 MHz</x:v>
      </x:c>
      <x:c r="J25" s="21" t="str">
        <x:v>GE LOGIQ e; L8-18i-D probe</x:v>
      </x:c>
      <x:c r="K25" s="21" t="str">
        <x:v>NR</x:v>
      </x:c>
      <x:c r="L25" s="21" t="str">
        <x:v>Lipohypertrophy regions</x:v>
      </x:c>
      <x:c r="M25" s="21" t="str">
        <x:v>NR</x:v>
      </x:c>
      <x:c r="N25" s="21" t="str">
        <x:v>Proof-of-concept model-development study</x:v>
      </x:c>
      <x:c r="O25" s="21" t="n">
        <x:v>1</x:v>
      </x:c>
      <x:c r="P25" s="21" t="n">
        <x:v>1</x:v>
      </x:c>
      <x:c r="Q25" s="21" t="str">
        <x:v>No</x:v>
      </x:c>
      <x:c r="R25" s="21" t="str">
        <x:v>Lipohypertrophy detection</x:v>
      </x:c>
      <x:c r="S25" s="21" t="str">
        <x:v>CNN; DenseNet best</x:v>
      </x:c>
      <x:c r="T25" s="21" t="str">
        <x:v>Clinical/ultrasound labels</x:v>
      </x:c>
      <x:c r="U25" s="21" t="str">
        <x:v>70/15/15 train/validation/test split</x:v>
      </x:c>
      <x:c r="V25" s="21" t="str">
        <x:v>Yes</x:v>
      </x:c>
      <x:c r="W25" s="21" t="str">
        <x:v>No</x:v>
      </x:c>
      <x:c r="X25" s="21" t="str">
        <x:v>No</x:v>
      </x:c>
      <x:c r="Y25" s="21" t="str">
        <x:v>No</x:v>
      </x:c>
      <x:c r="Z25" s="21" t="str">
        <x:v>No</x:v>
      </x:c>
      <x:c r="AA25" s="21" t="str">
        <x:v>No</x:v>
      </x:c>
      <x:c r="AB25" s="21" t="str">
        <x:v>No</x:v>
      </x:c>
      <x:c r="AC25" s="21" t="str">
        <x:v>No public study-specific repository identified</x:v>
      </x:c>
      <x:c r="AD25" s="21" t="str">
        <x:v>No identified</x:v>
      </x:c>
      <x:c r="AE25" s="21" t="str">
        <x:v>No identified</x:v>
      </x:c>
      <x:c r="AF25" s="21" t="str">
        <x:v>No</x:v>
      </x:c>
      <x:c r="AG25" s="21" t="str">
        <x:v>NR</x:v>
      </x:c>
      <x:c r="AH25" s="21" t="str"/>
      <x:c r="AI25" s="21" t="str">
        <x:v>Yes</x:v>
      </x:c>
      <x:c r="AJ25" s="21" t="str">
        <x:v>No</x:v>
      </x:c>
      <x:c r="AK25" s="21" t="str">
        <x:v>No</x:v>
      </x:c>
      <x:c r="AL25" s="21" t="str">
        <x:v>Accuracy 76%; recall 76%</x:v>
      </x:c>
      <x:c r="AM25" s="21" t="str">
        <x:v>Bedside proof-of-concept; no external validation or routine workflow deployment shown.</x:v>
      </x:c>
      <x:c r="AN25" s="21" t="str">
        <x:v>https://doi.org/10.2196/34830</x:v>
      </x:c>
      <x:c r="AO25" s="21" t="str"/>
      <x:c r="AP25" s="21" t="str"/>
      <x:c r="AQ25" s="21" t="str">
        <x:v>High</x:v>
      </x:c>
    </x:row>
    <x:row r="26">
      <x:c r="A26" s="20" t="str">
        <x:v>S25</x:v>
      </x:c>
      <x:c r="B26" s="20" t="str">
        <x:v>Faita et al.</x:v>
      </x:c>
      <x:c r="C26" s="20" t="n">
        <x:v>2022</x:v>
      </x:c>
      <x:c r="D26" s="21" t="str">
        <x:v>Ultra-high-frequency ultrasound and machine learning approaches for the differential diagnosis of melanocytic lesions</x:v>
      </x:c>
      <x:c r="E26" s="21" t="str">
        <x:v>Experimental Dermatology</x:v>
      </x:c>
      <x:c r="F26" s="21" t="str">
        <x:v>10.1111/exd.14330</x:v>
      </x:c>
      <x:c r="G26" s="21" t="str">
        <x:v>Core clinical</x:v>
      </x:c>
      <x:c r="H26" s="21" t="str">
        <x:v>Melanoma vs melanocytic nevi</x:v>
      </x:c>
      <x:c r="I26" s="21" t="str">
        <x:v>UHFUS 70 MHz + color Doppler</x:v>
      </x:c>
      <x:c r="J26" s="21" t="str">
        <x:v>UHFUS 70 MHz</x:v>
      </x:c>
      <x:c r="K26" s="21" t="str">
        <x:v>NR</x:v>
      </x:c>
      <x:c r="L26" s="21" t="n">
        <x:v>39</x:v>
      </x:c>
      <x:c r="M26" s="21" t="str">
        <x:v>20 melanoma + 19 nevi</x:v>
      </x:c>
      <x:c r="N26" s="21" t="str">
        <x:v>Observational small-cohort model-development study</x:v>
      </x:c>
      <x:c r="O26" s="21" t="n">
        <x:v>1</x:v>
      </x:c>
      <x:c r="P26" s="21" t="n">
        <x:v>1</x:v>
      </x:c>
      <x:c r="Q26" s="21" t="str">
        <x:v>No</x:v>
      </x:c>
      <x:c r="R26" s="21" t="str">
        <x:v>Melanoma vs nevi classification</x:v>
      </x:c>
      <x:c r="S26" s="21" t="str">
        <x:v>8 morphology + 122 texture features; PCA + 23 classifiers; weighted KNN best</x:v>
      </x:c>
      <x:c r="T26" s="21" t="str">
        <x:v>Histopathology</x:v>
      </x:c>
      <x:c r="U26" s="21" t="str">
        <x:v>Internal model selection/evaluation</x:v>
      </x:c>
      <x:c r="V26" s="21" t="str">
        <x:v>Yes</x:v>
      </x:c>
      <x:c r="W26" s="21" t="str">
        <x:v>No</x:v>
      </x:c>
      <x:c r="X26" s="21" t="str">
        <x:v>No</x:v>
      </x:c>
      <x:c r="Y26" s="21" t="str">
        <x:v>No</x:v>
      </x:c>
      <x:c r="Z26" s="21" t="str">
        <x:v>No</x:v>
      </x:c>
      <x:c r="AA26" s="21" t="str">
        <x:v>No</x:v>
      </x:c>
      <x:c r="AB26" s="21" t="str">
        <x:v>No</x:v>
      </x:c>
      <x:c r="AC26" s="21" t="str">
        <x:v>No public study-specific repository identified</x:v>
      </x:c>
      <x:c r="AD26" s="21" t="str">
        <x:v>No identified</x:v>
      </x:c>
      <x:c r="AE26" s="21" t="str">
        <x:v>No identified</x:v>
      </x:c>
      <x:c r="AF26" s="21" t="str">
        <x:v>No</x:v>
      </x:c>
      <x:c r="AG26" s="21" t="str">
        <x:v>NR</x:v>
      </x:c>
      <x:c r="AH26" s="21" t="str"/>
      <x:c r="AI26" s="21" t="str">
        <x:v>Yes</x:v>
      </x:c>
      <x:c r="AJ26" s="21" t="str">
        <x:v>No</x:v>
      </x:c>
      <x:c r="AK26" s="21" t="str">
        <x:v>No</x:v>
      </x:c>
      <x:c r="AL26" s="21" t="str">
        <x:v>Accuracy 76.9%; AUC 0.83; sensitivity 84%; specificity 70%</x:v>
      </x:c>
      <x:c r="AM26" s="21" t="str">
        <x:v>Very small cohort; no external validation.</x:v>
      </x:c>
      <x:c r="AN26" s="21" t="str">
        <x:v>https://doi.org/10.1111/exd.14330</x:v>
      </x:c>
      <x:c r="AO26" s="21" t="str"/>
      <x:c r="AP26" s="21" t="str"/>
      <x:c r="AQ26" s="21" t="str">
        <x:v>High</x:v>
      </x:c>
    </x:row>
    <x:row r="27">
      <x:c r="A27" s="20" t="str">
        <x:v>S26</x:v>
      </x:c>
      <x:c r="B27" s="20" t="str">
        <x:v>Lee et al.</x:v>
      </x:c>
      <x:c r="C27" s="20" t="n">
        <x:v>2021</x:v>
      </x:c>
      <x:c r="D27" s="21" t="str">
        <x:v>Application of Deep Convolutional Neural Networks in the Diagnosis of Subcutaneous Masses Using Ultrasonography: A Pilot Study</x:v>
      </x:c>
      <x:c r="E27" s="21" t="str">
        <x:v>Korean Journal of Dermatology</x:v>
      </x:c>
      <x:c r="F27" s="21" t="str"/>
      <x:c r="G27" s="21" t="str">
        <x:v>Core clinical</x:v>
      </x:c>
      <x:c r="H27" s="21" t="str">
        <x:v>Subcutaneous mass classification</x:v>
      </x:c>
      <x:c r="I27" s="21" t="str">
        <x:v>Skin/subcutaneous ultrasonography</x:v>
      </x:c>
      <x:c r="J27" s="21" t="str">
        <x:v>NR</x:v>
      </x:c>
      <x:c r="K27" s="21" t="n">
        <x:v>202</x:v>
      </x:c>
      <x:c r="L27" s="21" t="str">
        <x:v>NR</x:v>
      </x:c>
      <x:c r="M27" s="21" t="str">
        <x:v>1,361 training images + 93 external open-access images</x:v>
      </x:c>
      <x:c r="N27" s="21" t="str">
        <x:v>Retrospective pilot</x:v>
      </x:c>
      <x:c r="O27" s="21" t="n">
        <x:v>1</x:v>
      </x:c>
      <x:c r="P27" s="21" t="n">
        <x:v>1</x:v>
      </x:c>
      <x:c r="Q27" s="21" t="str">
        <x:v>No</x:v>
      </x:c>
      <x:c r="R27" s="21" t="str">
        <x:v>Epidermal cyst / lipoma / other mass classification</x:v>
      </x:c>
      <x:c r="S27" s="21" t="str">
        <x:v>ResNet18</x:v>
      </x:c>
      <x:c r="T27" s="21" t="str">
        <x:v>Clinical/pathologic labels</x:v>
      </x:c>
      <x:c r="U27" s="21" t="str">
        <x:v>Internal training plus 93 ultrasound images collected from open-access articles as external image-set test</x:v>
      </x:c>
      <x:c r="V27" s="21" t="str">
        <x:v>Yes</x:v>
      </x:c>
      <x:c r="W27" s="21" t="str">
        <x:v>Yes</x:v>
      </x:c>
      <x:c r="X27" s="21" t="str">
        <x:v>No/NR</x:v>
      </x:c>
      <x:c r="Y27" s="21" t="str">
        <x:v>No</x:v>
      </x:c>
      <x:c r="Z27" s="21" t="str">
        <x:v>No</x:v>
      </x:c>
      <x:c r="AA27" s="21" t="str">
        <x:v>No</x:v>
      </x:c>
      <x:c r="AB27" s="21" t="str">
        <x:v>No</x:v>
      </x:c>
      <x:c r="AC27" s="21" t="str">
        <x:v>No public study-specific repository identified</x:v>
      </x:c>
      <x:c r="AD27" s="21" t="str">
        <x:v>No identified</x:v>
      </x:c>
      <x:c r="AE27" s="21" t="str">
        <x:v>No identified</x:v>
      </x:c>
      <x:c r="AF27" s="21" t="str">
        <x:v>No</x:v>
      </x:c>
      <x:c r="AG27" s="21" t="str">
        <x:v>NR</x:v>
      </x:c>
      <x:c r="AH27" s="21" t="str"/>
      <x:c r="AI27" s="21" t="str">
        <x:v>Yes</x:v>
      </x:c>
      <x:c r="AJ27" s="21" t="str">
        <x:v>No</x:v>
      </x:c>
      <x:c r="AK27" s="21" t="str">
        <x:v>No</x:v>
      </x:c>
      <x:c r="AL27" s="21" t="str">
        <x:v>External image-set accuracy 87.10%; F1 86.10%; class AUCs 0.92–0.97</x:v>
      </x:c>
      <x:c r="AM27" s="21" t="str">
        <x:v>External image-set test is not an independent prospectively acquired clinical patient cohort.</x:v>
      </x:c>
      <x:c r="AN27" s="21" t="str">
        <x:v>https://www.jaad.org/article/S0190-9622(21)01965-2/fulltext</x:v>
      </x:c>
      <x:c r="AO27" s="21" t="str"/>
      <x:c r="AP27" s="21" t="str"/>
      <x:c r="AQ27" s="21" t="str">
        <x:v>Moderate</x:v>
      </x:c>
    </x:row>
    <x:row r="28">
      <x:c r="A28" s="20" t="str">
        <x:v>S27</x:v>
      </x:c>
      <x:c r="B28" s="20" t="str">
        <x:v>Marosán-Vilimszky et al.</x:v>
      </x:c>
      <x:c r="C28" s="20" t="n">
        <x:v>2021</x:v>
      </x:c>
      <x:c r="D28" s="21" t="str">
        <x:v>Automated Skin Lesion Classification on Ultrasound Images</x:v>
      </x:c>
      <x:c r="E28" s="21" t="str">
        <x:v>Diagnostics</x:v>
      </x:c>
      <x:c r="F28" s="21" t="str">
        <x:v>10.3390/diagnostics11071207</x:v>
      </x:c>
      <x:c r="G28" s="21" t="str">
        <x:v>Core clinical</x:v>
      </x:c>
      <x:c r="H28" s="21" t="str">
        <x:v>Melanoma/BCC/nevi classification</x:v>
      </x:c>
      <x:c r="I28" s="21" t="str">
        <x:v>B-mode ultrasound, 5–18 MHz</x:v>
      </x:c>
      <x:c r="J28" s="21" t="str">
        <x:v>Hitachi Preirus</x:v>
      </x:c>
      <x:c r="K28" s="21" t="str">
        <x:v>NR</x:v>
      </x:c>
      <x:c r="L28" s="21" t="n">
        <x:v>310</x:v>
      </x:c>
      <x:c r="M28" s="21" t="str">
        <x:v>70 melanoma + 130 BCC + 110 benign nevi</x:v>
      </x:c>
      <x:c r="N28" s="21" t="str">
        <x:v>Retrospective/model-development study</x:v>
      </x:c>
      <x:c r="O28" s="21" t="n">
        <x:v>1</x:v>
      </x:c>
      <x:c r="P28" s="21" t="n">
        <x:v>1</x:v>
      </x:c>
      <x:c r="Q28" s="21" t="str">
        <x:v>No</x:v>
      </x:c>
      <x:c r="R28" s="21" t="str">
        <x:v>Skin lesion classification</x:v>
      </x:c>
      <x:c r="S28" s="21" t="str">
        <x:v>62 handcrafted features + SVM</x:v>
      </x:c>
      <x:c r="T28" s="21" t="str">
        <x:v>Histopathology/clinical diagnosis</x:v>
      </x:c>
      <x:c r="U28" s="21" t="str">
        <x:v>10-fold cross-validation</x:v>
      </x:c>
      <x:c r="V28" s="21" t="str">
        <x:v>Yes</x:v>
      </x:c>
      <x:c r="W28" s="21" t="str">
        <x:v>No</x:v>
      </x:c>
      <x:c r="X28" s="21" t="str">
        <x:v>No</x:v>
      </x:c>
      <x:c r="Y28" s="21" t="str">
        <x:v>No</x:v>
      </x:c>
      <x:c r="Z28" s="21" t="str">
        <x:v>No</x:v>
      </x:c>
      <x:c r="AA28" s="21" t="str">
        <x:v>No</x:v>
      </x:c>
      <x:c r="AB28" s="21" t="str">
        <x:v>Yes</x:v>
      </x:c>
      <x:c r="AC28" s="21" t="str">
        <x:v>Public full study code; repository license restricts use/distribution without permission</x:v>
      </x:c>
      <x:c r="AD28" s="21" t="str">
        <x:v>No identified</x:v>
      </x:c>
      <x:c r="AE28" s="21" t="str">
        <x:v>No identified</x:v>
      </x:c>
      <x:c r="AF28" s="21" t="str">
        <x:v>No</x:v>
      </x:c>
      <x:c r="AG28" s="21" t="str">
        <x:v>NR</x:v>
      </x:c>
      <x:c r="AH28" s="21" t="str"/>
      <x:c r="AI28" s="21" t="str">
        <x:v>Yes</x:v>
      </x:c>
      <x:c r="AJ28" s="21" t="str">
        <x:v>No</x:v>
      </x:c>
      <x:c r="AK28" s="21" t="str">
        <x:v>No</x:v>
      </x:c>
      <x:c r="AL28" s="21" t="str">
        <x:v>Nevi vs cancer: AUC &gt;0.90; accuracy &gt;85%</x:v>
      </x:c>
      <x:c r="AM28" s="21" t="str">
        <x:v>Code is public, but dataset and trained model package are not fully open.</x:v>
      </x:c>
      <x:c r="AN28" s="21" t="str">
        <x:v>https://doi.org/10.3390/diagnostics11071207</x:v>
      </x:c>
      <x:c r="AO28" s="21" t="str">
        <x:v>https://github.com/marosanp/skin-lesion-us</x:v>
      </x:c>
      <x:c r="AP28" s="21" t="str"/>
      <x:c r="AQ28" s="21" t="str">
        <x:v>High</x:v>
      </x:c>
    </x:row>
    <x:row r="29">
      <x:c r="A29" s="20" t="str">
        <x:v>S28</x:v>
      </x:c>
      <x:c r="B29" s="20" t="str">
        <x:v>Czajkowska et al.</x:v>
      </x:c>
      <x:c r="C29" s="20" t="n">
        <x:v>2021</x:v>
      </x:c>
      <x:c r="D29" s="21" t="str">
        <x:v>Deep learning approach to skin layers segmentation in inflammatory dermatoses</x:v>
      </x:c>
      <x:c r="E29" s="21" t="str">
        <x:v>Ultrasonics</x:v>
      </x:c>
      <x:c r="F29" s="21" t="str">
        <x:v>10.1016/j.ultras.2021.106412</x:v>
      </x:c>
      <x:c r="G29" s="21" t="str">
        <x:v>Technical/workflow</x:v>
      </x:c>
      <x:c r="H29" s="21" t="str">
        <x:v>Inflammatory dermatosis skin-layer segmentation</x:v>
      </x:c>
      <x:c r="I29" s="21" t="str">
        <x:v>HFUS 75 MHz</x:v>
      </x:c>
      <x:c r="J29" s="21" t="str">
        <x:v>DUB SkinScanner</x:v>
      </x:c>
      <x:c r="K29" s="21" t="n">
        <x:v>380</x:v>
      </x:c>
      <x:c r="L29" s="21" t="str">
        <x:v>303 AD + 77 psoriasis</x:v>
      </x:c>
      <x:c r="M29" s="21" t="n">
        <x:v>380</x:v>
      </x:c>
      <x:c r="N29" s="21" t="str">
        <x:v>Technical/model-development study</x:v>
      </x:c>
      <x:c r="O29" s="21" t="n">
        <x:v>1</x:v>
      </x:c>
      <x:c r="P29" s="21" t="n">
        <x:v>1</x:v>
      </x:c>
      <x:c r="Q29" s="21" t="str">
        <x:v>No</x:v>
      </x:c>
      <x:c r="R29" s="21" t="str">
        <x:v>Epidermis/SLEB segmentation</x:v>
      </x:c>
      <x:c r="S29" s="21" t="str">
        <x:v>SegUNet / U-shaped CNN + fuzzy c-means</x:v>
      </x:c>
      <x:c r="T29" s="21" t="str">
        <x:v>Expert segmentation masks</x:v>
      </x:c>
      <x:c r="U29" s="21" t="str">
        <x:v>Internal evaluation</x:v>
      </x:c>
      <x:c r="V29" s="21" t="str">
        <x:v>Yes</x:v>
      </x:c>
      <x:c r="W29" s="21" t="str">
        <x:v>No</x:v>
      </x:c>
      <x:c r="X29" s="21" t="str">
        <x:v>No</x:v>
      </x:c>
      <x:c r="Y29" s="21" t="str">
        <x:v>No</x:v>
      </x:c>
      <x:c r="Z29" s="21" t="str">
        <x:v>No</x:v>
      </x:c>
      <x:c r="AA29" s="21" t="str">
        <x:v>No</x:v>
      </x:c>
      <x:c r="AB29" s="21" t="str">
        <x:v>No</x:v>
      </x:c>
      <x:c r="AC29" s="21" t="str">
        <x:v>No public study-specific code repository identified</x:v>
      </x:c>
      <x:c r="AD29" s="21" t="str">
        <x:v>No identified</x:v>
      </x:c>
      <x:c r="AE29" s="21" t="str">
        <x:v>Yes</x:v>
      </x:c>
      <x:c r="AF29" s="21" t="str">
        <x:v>No</x:v>
      </x:c>
      <x:c r="AG29" s="21" t="str">
        <x:v>No</x:v>
      </x:c>
      <x:c r="AH29" s="21" t="str">
        <x:v>Polish_75MHz</x:v>
      </x:c>
      <x:c r="AI29" s="21" t="str">
        <x:v>Yes</x:v>
      </x:c>
      <x:c r="AJ29" s="21" t="str">
        <x:v>No</x:v>
      </x:c>
      <x:c r="AK29" s="21" t="str">
        <x:v>No</x:v>
      </x:c>
      <x:c r="AL29" s="21" t="str">
        <x:v>Dice 0.87 epidermis; 0.83 SLEB</x:v>
      </x:c>
      <x:c r="AM29" s="21" t="str">
        <x:v>Source public 380-patient inflammatory HFUS cohort used/overlapped by later publications.</x:v>
      </x:c>
      <x:c r="AN29" s="21" t="str">
        <x:v>https://doi.org/10.1016/j.ultras.2021.106412</x:v>
      </x:c>
      <x:c r="AO29" s="21" t="str"/>
      <x:c r="AP29" s="21" t="str">
        <x:v>https://data.mendeley.com/datasets/5p7fxjt7vs/1</x:v>
      </x:c>
      <x:c r="AQ29" s="21" t="str">
        <x:v>High</x:v>
      </x:c>
    </x:row>
    <x:row r="30">
      <x:c r="A30" s="20" t="str">
        <x:v>S29</x:v>
      </x:c>
      <x:c r="B30" s="20" t="str">
        <x:v>Czajkowska et al.</x:v>
      </x:c>
      <x:c r="C30" s="20" t="n">
        <x:v>2021</x:v>
      </x:c>
      <x:c r="D30" s="21" t="str">
        <x:v>Deep Learning-Based High-Frequency Ultrasound Skin Image Classification with Multicriteria Model Evaluation</x:v>
      </x:c>
      <x:c r="E30" s="21" t="str">
        <x:v>Sensors</x:v>
      </x:c>
      <x:c r="F30" s="21" t="str">
        <x:v>10.3390/s21175846</x:v>
      </x:c>
      <x:c r="G30" s="21" t="str">
        <x:v>Core clinical</x:v>
      </x:c>
      <x:c r="H30" s="21" t="str">
        <x:v>AD / psoriasis / skin tumors / healthy classification</x:v>
      </x:c>
      <x:c r="I30" s="21" t="str">
        <x:v>HFUS 75 MHz</x:v>
      </x:c>
      <x:c r="J30" s="21" t="str">
        <x:v>DUB SkinScanner lineage</x:v>
      </x:c>
      <x:c r="K30" s="21" t="str">
        <x:v>NR</x:v>
      </x:c>
      <x:c r="L30" s="21" t="str">
        <x:v>NR</x:v>
      </x:c>
      <x:c r="M30" s="21" t="n">
        <x:v>631</x:v>
      </x:c>
      <x:c r="N30" s="21" t="str">
        <x:v>Model-development study</x:v>
      </x:c>
      <x:c r="O30" s="21" t="n">
        <x:v>1</x:v>
      </x:c>
      <x:c r="P30" s="21" t="n">
        <x:v>1</x:v>
      </x:c>
      <x:c r="Q30" s="21" t="str">
        <x:v>No</x:v>
      </x:c>
      <x:c r="R30" s="21" t="str">
        <x:v>Multi-class skin-image classification</x:v>
      </x:c>
      <x:c r="S30" s="21" t="str">
        <x:v>Transfer-learning CNNs; DenseNet-201 selected</x:v>
      </x:c>
      <x:c r="T30" s="21" t="str">
        <x:v>Clinical diagnostic labels</x:v>
      </x:c>
      <x:c r="U30" s="21" t="str">
        <x:v>Internal train/validation/test model evaluation</x:v>
      </x:c>
      <x:c r="V30" s="21" t="str">
        <x:v>Yes</x:v>
      </x:c>
      <x:c r="W30" s="21" t="str">
        <x:v>No</x:v>
      </x:c>
      <x:c r="X30" s="21" t="str">
        <x:v>No</x:v>
      </x:c>
      <x:c r="Y30" s="21" t="str">
        <x:v>No</x:v>
      </x:c>
      <x:c r="Z30" s="21" t="str">
        <x:v>No</x:v>
      </x:c>
      <x:c r="AA30" s="21" t="str">
        <x:v>No</x:v>
      </x:c>
      <x:c r="AB30" s="21" t="str">
        <x:v>No</x:v>
      </x:c>
      <x:c r="AC30" s="21" t="str">
        <x:v>No complete public study-specific package identified</x:v>
      </x:c>
      <x:c r="AD30" s="21" t="str">
        <x:v>No identified</x:v>
      </x:c>
      <x:c r="AE30" s="21" t="str">
        <x:v>Partial</x:v>
      </x:c>
      <x:c r="AF30" s="21" t="str">
        <x:v>Yes — 380 inflammatory cases public</x:v>
      </x:c>
      <x:c r="AG30" s="21" t="str">
        <x:v>NR</x:v>
      </x:c>
      <x:c r="AH30" s="21" t="str">
        <x:v>Polish_75MHz</x:v>
      </x:c>
      <x:c r="AI30" s="21" t="str">
        <x:v>No</x:v>
      </x:c>
      <x:c r="AJ30" s="21" t="str">
        <x:v>No</x:v>
      </x:c>
      <x:c r="AK30" s="21" t="str">
        <x:v>No</x:v>
      </x:c>
      <x:c r="AL30" s="21" t="str">
        <x:v>Selected-model accuracy 97.5%</x:v>
      </x:c>
      <x:c r="AM30" s="21" t="str">
        <x:v>The 631-image dataset includes the public 380-image inflammatory cohort plus tumor and healthy-control images; not an independent 631-patient evidence base.</x:v>
      </x:c>
      <x:c r="AN30" s="21" t="str">
        <x:v>https://doi.org/10.3390/s21175846</x:v>
      </x:c>
      <x:c r="AO30" s="21" t="str"/>
      <x:c r="AP30" s="21" t="str">
        <x:v>https://data.mendeley.com/datasets/5p7fxjt7vs/1</x:v>
      </x:c>
      <x:c r="AQ30" s="21" t="str">
        <x:v>High</x:v>
      </x:c>
    </x:row>
    <x:row r="31">
      <x:c r="A31" s="20" t="str">
        <x:v>S30</x:v>
      </x:c>
      <x:c r="B31" s="20" t="str">
        <x:v>Jin et al.</x:v>
      </x:c>
      <x:c r="C31" s="20" t="n">
        <x:v>2021</x:v>
      </x:c>
      <x:c r="D31" s="21" t="str">
        <x:v>Semi-automated weak annotation for deep neural network skin thickness measurement</x:v>
      </x:c>
      <x:c r="E31" s="21" t="str">
        <x:v>Ultrasonic Imaging</x:v>
      </x:c>
      <x:c r="F31" s="21" t="str">
        <x:v>10.1177/01617346211014138</x:v>
      </x:c>
      <x:c r="G31" s="21" t="str">
        <x:v>Technical/workflow</x:v>
      </x:c>
      <x:c r="H31" s="21" t="str">
        <x:v>Skin-thickness segmentation</x:v>
      </x:c>
      <x:c r="I31" s="21" t="str">
        <x:v>B-mode ultrasound; ~12.3 MHz receive</x:v>
      </x:c>
      <x:c r="J31" s="21" t="str">
        <x:v>Siemens S2000; 14L5 probe</x:v>
      </x:c>
      <x:c r="K31" s="21" t="n">
        <x:v>18</x:v>
      </x:c>
      <x:c r="L31" s="21" t="str">
        <x:v>NA</x:v>
      </x:c>
      <x:c r="M31" s="21" t="n">
        <x:v>1443</x:v>
      </x:c>
      <x:c r="N31" s="21" t="str">
        <x:v>Technical/model-development study</x:v>
      </x:c>
      <x:c r="O31" s="21" t="n">
        <x:v>1</x:v>
      </x:c>
      <x:c r="P31" s="21" t="n">
        <x:v>1</x:v>
      </x:c>
      <x:c r="Q31" s="21" t="str">
        <x:v>No</x:v>
      </x:c>
      <x:c r="R31" s="21" t="str">
        <x:v>Skin boundary segmentation / thickness measurement</x:v>
      </x:c>
      <x:c r="S31" s="21" t="str">
        <x:v>Deep neural network with weak annotation</x:v>
      </x:c>
      <x:c r="T31" s="21" t="str">
        <x:v>Manual/expert skin boundaries</x:v>
      </x:c>
      <x:c r="U31" s="21" t="str">
        <x:v>12 patients train / 3 validation / 3 held-out test; 6-fold patient-level CV</x:v>
      </x:c>
      <x:c r="V31" s="21" t="str">
        <x:v>Yes</x:v>
      </x:c>
      <x:c r="W31" s="21" t="str">
        <x:v>No</x:v>
      </x:c>
      <x:c r="X31" s="21" t="str">
        <x:v>No</x:v>
      </x:c>
      <x:c r="Y31" s="21" t="str">
        <x:v>No</x:v>
      </x:c>
      <x:c r="Z31" s="21" t="str">
        <x:v>No</x:v>
      </x:c>
      <x:c r="AA31" s="21" t="str">
        <x:v>Yes</x:v>
      </x:c>
      <x:c r="AB31" s="21" t="str">
        <x:v>Yes</x:v>
      </x:c>
      <x:c r="AC31" s="21" t="str">
        <x:v>Public study-specific code repository identified</x:v>
      </x:c>
      <x:c r="AD31" s="21" t="str">
        <x:v>No identified</x:v>
      </x:c>
      <x:c r="AE31" s="21" t="str">
        <x:v>No identified</x:v>
      </x:c>
      <x:c r="AF31" s="21" t="str">
        <x:v>No</x:v>
      </x:c>
      <x:c r="AG31" s="21" t="str">
        <x:v>NR</x:v>
      </x:c>
      <x:c r="AH31" s="21" t="str"/>
      <x:c r="AI31" s="21" t="str">
        <x:v>Yes</x:v>
      </x:c>
      <x:c r="AJ31" s="21" t="str">
        <x:v>No</x:v>
      </x:c>
      <x:c r="AK31" s="21" t="str">
        <x:v>No</x:v>
      </x:c>
      <x:c r="AL31" s="21" t="str">
        <x:v>DNN segmentation accuracy 78% vs thresholding 57%</x:v>
      </x:c>
      <x:c r="AM31" s="21" t="str">
        <x:v>Patient-level held-out testing is stronger than image-level random splitting, but remains single-cohort internal validation.</x:v>
      </x:c>
      <x:c r="AN31" s="21" t="str">
        <x:v>https://doi.org/10.1177/01617346211014138</x:v>
      </x:c>
      <x:c r="AO31" s="21" t="str">
        <x:v>https://github.com/fqjin/skin-segmentation</x:v>
      </x:c>
      <x:c r="AP31" s="21" t="str"/>
      <x:c r="AQ31" s="21" t="str">
        <x:v>High</x:v>
      </x:c>
    </x:row>
    <x:row r="32">
      <x:c r="A32" s="20" t="str">
        <x:v>S31</x:v>
      </x:c>
      <x:c r="B32" s="20" t="str">
        <x:v>Chirikhina et al.</x:v>
      </x:c>
      <x:c r="C32" s="20" t="n">
        <x:v>2021</x:v>
      </x:c>
      <x:c r="D32" s="21" t="str">
        <x:v>Skin characterizations by using contact capacitive imaging and high-resolution ultrasound imaging with machine learning algorithms</x:v>
      </x:c>
      <x:c r="E32" s="21" t="str">
        <x:v>Applied Sciences</x:v>
      </x:c>
      <x:c r="F32" s="21" t="str">
        <x:v>10.3390/app11188714</x:v>
      </x:c>
      <x:c r="G32" s="21" t="str">
        <x:v>Technical/workflow</x:v>
      </x:c>
      <x:c r="H32" s="21" t="str">
        <x:v>Skin characterization</x:v>
      </x:c>
      <x:c r="I32" s="21" t="str">
        <x:v>High-resolution ultrasound + capacitive imaging</x:v>
      </x:c>
      <x:c r="J32" s="21" t="str">
        <x:v>EPISCAN I-200</x:v>
      </x:c>
      <x:c r="K32" s="21" t="str">
        <x:v>NR</x:v>
      </x:c>
      <x:c r="L32" s="21" t="str">
        <x:v>NA</x:v>
      </x:c>
      <x:c r="M32" s="21" t="str">
        <x:v>605 color ultrasound images from 8 body/facial sites</x:v>
      </x:c>
      <x:c r="N32" s="21" t="str">
        <x:v>Technical/ML characterization study</x:v>
      </x:c>
      <x:c r="O32" s="21" t="n">
        <x:v>1</x:v>
      </x:c>
      <x:c r="P32" s="21" t="n">
        <x:v>1</x:v>
      </x:c>
      <x:c r="Q32" s="21" t="str">
        <x:v>No</x:v>
      </x:c>
      <x:c r="R32" s="21" t="str">
        <x:v>Skin-site / feature characterization</x:v>
      </x:c>
      <x:c r="S32" s="21" t="str">
        <x:v>Feature-based classifiers including LR, KNN, NN, RF and texture/CNN-derived features</x:v>
      </x:c>
      <x:c r="T32" s="21" t="str">
        <x:v>Anatomic/site labels</x:v>
      </x:c>
      <x:c r="U32" s="21" t="str">
        <x:v>Internal classifier evaluation</x:v>
      </x:c>
      <x:c r="V32" s="21" t="str">
        <x:v>Yes</x:v>
      </x:c>
      <x:c r="W32" s="21" t="str">
        <x:v>No</x:v>
      </x:c>
      <x:c r="X32" s="21" t="str">
        <x:v>No</x:v>
      </x:c>
      <x:c r="Y32" s="21" t="str">
        <x:v>No</x:v>
      </x:c>
      <x:c r="Z32" s="21" t="str">
        <x:v>No</x:v>
      </x:c>
      <x:c r="AA32" s="21" t="str">
        <x:v>No</x:v>
      </x:c>
      <x:c r="AB32" s="21" t="str">
        <x:v>No</x:v>
      </x:c>
      <x:c r="AC32" s="21" t="str">
        <x:v>No public study-specific repository identified</x:v>
      </x:c>
      <x:c r="AD32" s="21" t="str">
        <x:v>No identified</x:v>
      </x:c>
      <x:c r="AE32" s="21" t="str">
        <x:v>No identified</x:v>
      </x:c>
      <x:c r="AF32" s="21" t="str">
        <x:v>No</x:v>
      </x:c>
      <x:c r="AG32" s="21" t="str">
        <x:v>NR</x:v>
      </x:c>
      <x:c r="AH32" s="21" t="str"/>
      <x:c r="AI32" s="21" t="str">
        <x:v>Yes</x:v>
      </x:c>
      <x:c r="AJ32" s="21" t="str">
        <x:v>No</x:v>
      </x:c>
      <x:c r="AK32" s="21" t="str">
        <x:v>No</x:v>
      </x:c>
      <x:c r="AL32" s="21" t="str">
        <x:v>Classifier performance reported across skin-characterization tasks; no single clinical headline metric</x:v>
      </x:c>
      <x:c r="AM32" s="21" t="str">
        <x:v>Technical skin-characterization study rather than disease diagnosis.</x:v>
      </x:c>
      <x:c r="AN32" s="21" t="str">
        <x:v>https://doi.org/10.3390/app11188714</x:v>
      </x:c>
      <x:c r="AO32" s="21" t="str"/>
      <x:c r="AP32" s="21" t="str"/>
      <x:c r="AQ32" s="21" t="str">
        <x:v>High</x:v>
      </x:c>
    </x:row>
    <x:row r="33">
      <x:c r="A33" s="20" t="str">
        <x:v>S32</x:v>
      </x:c>
      <x:c r="B33" s="20" t="str">
        <x:v>Tiwari et al.</x:v>
      </x:c>
      <x:c r="C33" s="20" t="n">
        <x:v>2020</x:v>
      </x:c>
      <x:c r="D33" s="21" t="str">
        <x:v>Diagnostics of Melanocytic Skin Tumours by a Combination of Ultrasonic, Dermatoscopic and Spectrophotometric Image Parameters</x:v>
      </x:c>
      <x:c r="E33" s="21" t="str">
        <x:v>Diagnostics</x:v>
      </x:c>
      <x:c r="F33" s="21" t="str">
        <x:v>10.3390/diagnostics10090632</x:v>
      </x:c>
      <x:c r="G33" s="21" t="str">
        <x:v>Core clinical</x:v>
      </x:c>
      <x:c r="H33" s="21" t="str">
        <x:v>Melanoma vs melanocytic nevi</x:v>
      </x:c>
      <x:c r="I33" s="21" t="str">
        <x:v>HFUS 22 MHz + dermoscopy + spectrophotometry</x:v>
      </x:c>
      <x:c r="J33" s="21" t="str">
        <x:v>DUB-USB/Taberna pro medium lineage</x:v>
      </x:c>
      <x:c r="K33" s="21" t="n">
        <x:v>100</x:v>
      </x:c>
      <x:c r="L33" s="21" t="str">
        <x:v>91 analyzed: 50 nevi + 41 melanomas</x:v>
      </x:c>
      <x:c r="M33" s="21" t="str">
        <x:v>Paired multimodal images</x:v>
      </x:c>
      <x:c r="N33" s="21" t="str">
        <x:v>Observational diagnostic model study</x:v>
      </x:c>
      <x:c r="O33" s="21" t="n">
        <x:v>1</x:v>
      </x:c>
      <x:c r="P33" s="21" t="n">
        <x:v>1</x:v>
      </x:c>
      <x:c r="Q33" s="21" t="str">
        <x:v>No</x:v>
      </x:c>
      <x:c r="R33" s="21" t="str">
        <x:v>Melanoma vs nevi classification</x:v>
      </x:c>
      <x:c r="S33" s="21" t="str">
        <x:v>LR, LDA, SVM, Naive Bayes on multimodal quantitative features</x:v>
      </x:c>
      <x:c r="T33" s="21" t="str">
        <x:v>Histopathology confirmed by dermatopathologists</x:v>
      </x:c>
      <x:c r="U33" s="21" t="str">
        <x:v>Internal classifier evaluation; 9/100 cases excluded for artifacts</x:v>
      </x:c>
      <x:c r="V33" s="21" t="str">
        <x:v>Yes</x:v>
      </x:c>
      <x:c r="W33" s="21" t="str">
        <x:v>No</x:v>
      </x:c>
      <x:c r="X33" s="21" t="str">
        <x:v>No</x:v>
      </x:c>
      <x:c r="Y33" s="21" t="str">
        <x:v>No</x:v>
      </x:c>
      <x:c r="Z33" s="21" t="str">
        <x:v>No</x:v>
      </x:c>
      <x:c r="AA33" s="21" t="str">
        <x:v>No</x:v>
      </x:c>
      <x:c r="AB33" s="21" t="str">
        <x:v>No</x:v>
      </x:c>
      <x:c r="AC33" s="21" t="str">
        <x:v>No public study-specific repository identified</x:v>
      </x:c>
      <x:c r="AD33" s="21" t="str">
        <x:v>No identified</x:v>
      </x:c>
      <x:c r="AE33" s="21" t="str">
        <x:v>No identified</x:v>
      </x:c>
      <x:c r="AF33" s="21" t="str">
        <x:v>No</x:v>
      </x:c>
      <x:c r="AG33" s="21" t="str">
        <x:v>NR</x:v>
      </x:c>
      <x:c r="AH33" s="21" t="str"/>
      <x:c r="AI33" s="21" t="str">
        <x:v>Unclear</x:v>
      </x:c>
      <x:c r="AJ33" s="21" t="str">
        <x:v>No</x:v>
      </x:c>
      <x:c r="AK33" s="21" t="str">
        <x:v>No</x:v>
      </x:c>
      <x:c r="AL33" s="21" t="str">
        <x:v>Three-modality SVM: accuracy 98.9%; sensitivity 97.5%; specificity 100%; AUROC ~0.999</x:v>
      </x:c>
      <x:c r="AM33" s="21" t="str">
        <x:v>Same Lithuanian investigative lineage as Andrėkutė 2016; patient overlap is possible but not confirmed, so not counted as confirmed reuse.</x:v>
      </x:c>
      <x:c r="AN33" s="21" t="str">
        <x:v>https://doi.org/10.3390/diagnostics10090632</x:v>
      </x:c>
      <x:c r="AO33" s="21" t="str"/>
      <x:c r="AP33" s="21" t="str"/>
      <x:c r="AQ33" s="21" t="str">
        <x:v>High</x:v>
      </x:c>
    </x:row>
    <x:row r="34">
      <x:c r="A34" s="20" t="str">
        <x:v>S33</x:v>
      </x:c>
      <x:c r="B34" s="20" t="str">
        <x:v>Kia et al.</x:v>
      </x:c>
      <x:c r="C34" s="20" t="n">
        <x:v>2019</x:v>
      </x:c>
      <x:c r="D34" s="21" t="str">
        <x:v>Early diagnosis of skin cancer by ultrasound frequency analysis</x:v>
      </x:c>
      <x:c r="E34" s="21" t="str">
        <x:v>Journal of Applied Clinical Medical Physics</x:v>
      </x:c>
      <x:c r="F34" s="21" t="str">
        <x:v>10.1002/acm2.12671</x:v>
      </x:c>
      <x:c r="G34" s="21" t="str">
        <x:v>Core clinical</x:v>
      </x:c>
      <x:c r="H34" s="21" t="str">
        <x:v>Skin cancer diagnosis</x:v>
      </x:c>
      <x:c r="I34" s="21" t="str">
        <x:v>Ultrasound frequency analysis</x:v>
      </x:c>
      <x:c r="J34" s="21" t="str">
        <x:v>NR</x:v>
      </x:c>
      <x:c r="K34" s="21" t="n">
        <x:v>400</x:v>
      </x:c>
      <x:c r="L34" s="21" t="str">
        <x:v>NR</x:v>
      </x:c>
      <x:c r="M34" s="21" t="str">
        <x:v>Sonograms from 400 patients</x:v>
      </x:c>
      <x:c r="N34" s="21" t="str">
        <x:v>Diagnostic model-development study</x:v>
      </x:c>
      <x:c r="O34" s="21" t="str">
        <x:v>NR</x:v>
      </x:c>
      <x:c r="P34" s="21" t="n">
        <x:v>1</x:v>
      </x:c>
      <x:c r="Q34" s="21" t="str">
        <x:v>No/NR</x:v>
      </x:c>
      <x:c r="R34" s="21" t="str">
        <x:v>Skin cancer / lesion classification</x:v>
      </x:c>
      <x:c r="S34" s="21" t="str">
        <x:v>Frequency-domain features + neural-network/computerized classifier</x:v>
      </x:c>
      <x:c r="T34" s="21" t="str">
        <x:v>Clinical/pathologic labels</x:v>
      </x:c>
      <x:c r="U34" s="21" t="str">
        <x:v>Internal study validation</x:v>
      </x:c>
      <x:c r="V34" s="21" t="str">
        <x:v>Yes</x:v>
      </x:c>
      <x:c r="W34" s="21" t="str">
        <x:v>No</x:v>
      </x:c>
      <x:c r="X34" s="21" t="str">
        <x:v>No</x:v>
      </x:c>
      <x:c r="Y34" s="21" t="str">
        <x:v>No</x:v>
      </x:c>
      <x:c r="Z34" s="21" t="str">
        <x:v>No</x:v>
      </x:c>
      <x:c r="AA34" s="21" t="str">
        <x:v>No</x:v>
      </x:c>
      <x:c r="AB34" s="21" t="str">
        <x:v>No</x:v>
      </x:c>
      <x:c r="AC34" s="21" t="str">
        <x:v>No public study-specific repository identified</x:v>
      </x:c>
      <x:c r="AD34" s="21" t="str">
        <x:v>No identified</x:v>
      </x:c>
      <x:c r="AE34" s="21" t="str">
        <x:v>No identified</x:v>
      </x:c>
      <x:c r="AF34" s="21" t="str">
        <x:v>No</x:v>
      </x:c>
      <x:c r="AG34" s="21" t="str">
        <x:v>NR</x:v>
      </x:c>
      <x:c r="AH34" s="21" t="str"/>
      <x:c r="AI34" s="21" t="str">
        <x:v>Unclear</x:v>
      </x:c>
      <x:c r="AJ34" s="21" t="str">
        <x:v>No</x:v>
      </x:c>
      <x:c r="AK34" s="21" t="str">
        <x:v>No</x:v>
      </x:c>
      <x:c r="AL34" s="21" t="str">
        <x:v>AUC 0.959; sensitivity 93.8%; specificity 97.3%</x:v>
      </x:c>
      <x:c r="AM34" s="21" t="str">
        <x:v>Historical lineage with Kia 2013 is likely, but exact patient overlap has not been confirmed.</x:v>
      </x:c>
      <x:c r="AN34" s="21" t="str">
        <x:v>https://doi.org/10.1002/acm2.12671</x:v>
      </x:c>
      <x:c r="AO34" s="21" t="str"/>
      <x:c r="AP34" s="21" t="str"/>
      <x:c r="AQ34" s="21" t="str">
        <x:v>High</x:v>
      </x:c>
    </x:row>
    <x:row r="35">
      <x:c r="A35" s="20" t="str">
        <x:v>S34</x:v>
      </x:c>
      <x:c r="B35" s="20" t="str">
        <x:v>Andrėkutė et al.</x:v>
      </x:c>
      <x:c r="C35" s="20" t="n">
        <x:v>2016</x:v>
      </x:c>
      <x:c r="D35" s="21" t="str">
        <x:v>Automatic Differential Diagnosis of Melanocytic Skin Tumors Using Ultrasound Data</x:v>
      </x:c>
      <x:c r="E35" s="21" t="str">
        <x:v>Ultrasound in Medicine and Biology</x:v>
      </x:c>
      <x:c r="F35" s="21" t="str">
        <x:v>10.1016/j.ultrasmedbio.2016.07.026</x:v>
      </x:c>
      <x:c r="G35" s="21" t="str">
        <x:v>Core clinical</x:v>
      </x:c>
      <x:c r="H35" s="21" t="str">
        <x:v>Melanoma vs benign nevi</x:v>
      </x:c>
      <x:c r="I35" s="21" t="str">
        <x:v>Ultrasound quantitative/radiomic features</x:v>
      </x:c>
      <x:c r="J35" s="21" t="str">
        <x:v>NR</x:v>
      </x:c>
      <x:c r="K35" s="21" t="str">
        <x:v>NR</x:v>
      </x:c>
      <x:c r="L35" s="21" t="n">
        <x:v>160</x:v>
      </x:c>
      <x:c r="M35" s="21" t="str">
        <x:v>80 melanoma + 80 benign-nevus ultrasound datasets</x:v>
      </x:c>
      <x:c r="N35" s="21" t="str">
        <x:v>Diagnostic model-development study</x:v>
      </x:c>
      <x:c r="O35" s="21" t="n">
        <x:v>1</x:v>
      </x:c>
      <x:c r="P35" s="21" t="n">
        <x:v>1</x:v>
      </x:c>
      <x:c r="Q35" s="21" t="str">
        <x:v>No</x:v>
      </x:c>
      <x:c r="R35" s="21" t="str">
        <x:v>Melanoma vs nevi classification</x:v>
      </x:c>
      <x:c r="S35" s="21" t="str">
        <x:v>Acoustic, texture and shape features + linear SVM</x:v>
      </x:c>
      <x:c r="T35" s="21" t="str">
        <x:v>Histopathology</x:v>
      </x:c>
      <x:c r="U35" s="21" t="str">
        <x:v>Internal model evaluation</x:v>
      </x:c>
      <x:c r="V35" s="21" t="str">
        <x:v>Yes</x:v>
      </x:c>
      <x:c r="W35" s="21" t="str">
        <x:v>No</x:v>
      </x:c>
      <x:c r="X35" s="21" t="str">
        <x:v>No</x:v>
      </x:c>
      <x:c r="Y35" s="21" t="str">
        <x:v>No</x:v>
      </x:c>
      <x:c r="Z35" s="21" t="str">
        <x:v>No</x:v>
      </x:c>
      <x:c r="AA35" s="21" t="str">
        <x:v>No</x:v>
      </x:c>
      <x:c r="AB35" s="21" t="str">
        <x:v>No</x:v>
      </x:c>
      <x:c r="AC35" s="21" t="str">
        <x:v>No public study-specific repository identified</x:v>
      </x:c>
      <x:c r="AD35" s="21" t="str">
        <x:v>No identified</x:v>
      </x:c>
      <x:c r="AE35" s="21" t="str">
        <x:v>No identified</x:v>
      </x:c>
      <x:c r="AF35" s="21" t="str">
        <x:v>No</x:v>
      </x:c>
      <x:c r="AG35" s="21" t="str">
        <x:v>NR</x:v>
      </x:c>
      <x:c r="AH35" s="21" t="str"/>
      <x:c r="AI35" s="21" t="str">
        <x:v>Unclear</x:v>
      </x:c>
      <x:c r="AJ35" s="21" t="str">
        <x:v>No</x:v>
      </x:c>
      <x:c r="AK35" s="21" t="str">
        <x:v>No</x:v>
      </x:c>
      <x:c r="AL35" s="21" t="str">
        <x:v>Accuracy 82.4%; sensitivity 85.8%; specificity 79.6%</x:v>
      </x:c>
      <x:c r="AM35" s="21" t="str">
        <x:v>Possible cohort lineage with later Lithuanian multimodal study (Tiwari 2020) remains unresolved.</x:v>
      </x:c>
      <x:c r="AN35" s="21" t="str">
        <x:v>https://doi.org/10.1016/j.ultrasmedbio.2016.07.026</x:v>
      </x:c>
      <x:c r="AO35" s="21" t="str"/>
      <x:c r="AP35" s="21" t="str"/>
      <x:c r="AQ35" s="21" t="str">
        <x:v>High</x:v>
      </x:c>
    </x:row>
    <x:row r="36">
      <x:c r="A36" s="20" t="str">
        <x:v>S35</x:v>
      </x:c>
      <x:c r="B36" s="20" t="str">
        <x:v>Kia et al.</x:v>
      </x:c>
      <x:c r="C36" s="20" t="n">
        <x:v>2013</x:v>
      </x:c>
      <x:c r="D36" s="21" t="str">
        <x:v>Computer-aided diagnosis (CAD) of the skin disease based on an intelligent classification of sonogram using neural network</x:v>
      </x:c>
      <x:c r="E36" s="21" t="str">
        <x:v>Neural Computing and Applications</x:v>
      </x:c>
      <x:c r="F36" s="21" t="str">
        <x:v>10.1007/s00521-012-0864-y</x:v>
      </x:c>
      <x:c r="G36" s="21" t="str">
        <x:v>Core clinical</x:v>
      </x:c>
      <x:c r="H36" s="21" t="str">
        <x:v>Skin disease / lesion CAD</x:v>
      </x:c>
      <x:c r="I36" s="21" t="str">
        <x:v>Skin sonograms; exact frequency/device NR</x:v>
      </x:c>
      <x:c r="J36" s="21" t="str">
        <x:v>NR</x:v>
      </x:c>
      <x:c r="K36" s="21" t="str">
        <x:v>NR</x:v>
      </x:c>
      <x:c r="L36" s="21" t="str">
        <x:v>NR</x:v>
      </x:c>
      <x:c r="M36" s="21" t="str">
        <x:v>NR</x:v>
      </x:c>
      <x:c r="N36" s="21" t="str">
        <x:v>Diagnostic neural-network model-development study</x:v>
      </x:c>
      <x:c r="O36" s="21" t="str">
        <x:v>NR</x:v>
      </x:c>
      <x:c r="P36" s="21" t="n">
        <x:v>1</x:v>
      </x:c>
      <x:c r="Q36" s="21" t="str">
        <x:v>No/NR</x:v>
      </x:c>
      <x:c r="R36" s="21" t="str">
        <x:v>Healthy/cancerous; benign/malignant; skin disease classification</x:v>
      </x:c>
      <x:c r="S36" s="21" t="str">
        <x:v>Neural-network CAD pipeline</x:v>
      </x:c>
      <x:c r="T36" s="21" t="str">
        <x:v>Clinical diagnostic labels; details NR in accessible abstract</x:v>
      </x:c>
      <x:c r="U36" s="21" t="str">
        <x:v>Internal model evaluation; details NR</x:v>
      </x:c>
      <x:c r="V36" s="21" t="str">
        <x:v>Yes/NR</x:v>
      </x:c>
      <x:c r="W36" s="21" t="str">
        <x:v>No</x:v>
      </x:c>
      <x:c r="X36" s="21" t="str">
        <x:v>No</x:v>
      </x:c>
      <x:c r="Y36" s="21" t="str">
        <x:v>No</x:v>
      </x:c>
      <x:c r="Z36" s="21" t="str">
        <x:v>No</x:v>
      </x:c>
      <x:c r="AA36" s="21" t="str">
        <x:v>No</x:v>
      </x:c>
      <x:c r="AB36" s="21" t="str">
        <x:v>No</x:v>
      </x:c>
      <x:c r="AC36" s="21" t="str">
        <x:v>No public study-specific repository identified</x:v>
      </x:c>
      <x:c r="AD36" s="21" t="str">
        <x:v>No identified</x:v>
      </x:c>
      <x:c r="AE36" s="21" t="str">
        <x:v>No identified</x:v>
      </x:c>
      <x:c r="AF36" s="21" t="str">
        <x:v>No</x:v>
      </x:c>
      <x:c r="AG36" s="21" t="str">
        <x:v>NR</x:v>
      </x:c>
      <x:c r="AH36" s="21" t="str"/>
      <x:c r="AI36" s="21" t="str">
        <x:v>Unclear</x:v>
      </x:c>
      <x:c r="AJ36" s="21" t="str">
        <x:v>No</x:v>
      </x:c>
      <x:c r="AK36" s="21" t="str">
        <x:v>No</x:v>
      </x:c>
      <x:c r="AL36" s="21" t="str">
        <x:v>High classification capability reported; exact metrics not reliably extracted from accessible abstract</x:v>
      </x:c>
      <x:c r="AM36" s="21" t="str">
        <x:v>Historical AI/CAD paper. Full sample/device details remain unavailable in the accessible sources used for this extraction.</x:v>
      </x:c>
      <x:c r="AN36" s="21" t="str">
        <x:v>https://doi.org/10.1007/s00521-012-0864-y</x:v>
      </x:c>
      <x:c r="AO36" s="21" t="str"/>
      <x:c r="AP36" s="21" t="str"/>
      <x:c r="AQ36" s="21" t="str">
        <x:v>Moderate</x:v>
      </x:c>
    </x:row>
  </x:sheetData>
  <x:conditionalFormatting sqref="Y2:Y36">
    <x:cfRule type="expression" dxfId="0" priority="1">
      <x:formula>Y2="Yes"</x:formula>
    </x:cfRule>
    <x:cfRule type="expression" dxfId="1" priority="2">
      <x:formula>Y2="No"</x:formula>
    </x:cfRule>
  </x:conditionalFormatting>
  <x:conditionalFormatting sqref="Z2:Z36">
    <x:cfRule type="expression" dxfId="2" priority="3">
      <x:formula>Z2="Yes"</x:formula>
    </x:cfRule>
    <x:cfRule type="expression" dxfId="3" priority="4">
      <x:formula>Z2="No"</x:formula>
    </x:cfRule>
  </x:conditionalFormatting>
  <x:conditionalFormatting sqref="AB2:AB36">
    <x:cfRule type="expression" dxfId="4" priority="5">
      <x:formula>AB2="Yes"</x:formula>
    </x:cfRule>
    <x:cfRule type="expression" dxfId="5" priority="6">
      <x:formula>AB2="No"</x:formula>
    </x:cfRule>
  </x:conditionalFormatting>
  <x:conditionalFormatting sqref="AJ2:AJ36">
    <x:cfRule type="expression" dxfId="6" priority="7">
      <x:formula>AJ2="Yes"</x:formula>
    </x:cfRule>
    <x:cfRule type="expression" dxfId="7" priority="8">
      <x:formula>AJ2="No"</x:formula>
    </x:cfRule>
  </x:conditionalFormatting>
  <x:conditionalFormatting sqref="AK2:AK36">
    <x:cfRule type="expression" dxfId="8" priority="9">
      <x:formula>AK2="Yes"</x:formula>
    </x:cfRule>
    <x:cfRule type="expression" dxfId="9" priority="10">
      <x:formula>AK2="No"</x:formula>
    </x:cfRule>
  </x:conditionalFormatting>
  <x:conditionalFormatting sqref="AH2:AH36">
    <x:cfRule type="expression" dxfId="10" priority="11">
      <x:formula>AH2&lt;&gt;""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21185c57769457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4" hidden="0" customWidth="1"/>
    <x:col min="3" max="3" width="14" hidden="0" customWidth="1"/>
    <x:col min="4" max="4" width="72" hidden="0" customWidth="1"/>
    <x:col min="5" max="5" width="4" hidden="0" customWidth="1"/>
    <x:col min="6" max="6" width="26" hidden="0" customWidth="1"/>
    <x:col min="7" max="7" width="14" hidden="0" customWidth="1"/>
    <x:col min="8" max="8" width="16" hidden="0" customWidth="1"/>
  </x:cols>
  <x:sheetData>
    <x:row r="1" ht="28" customHeight="1">
      <x:c r="A1" s="24" t="str">
        <x:v>AI-Enhanced Dermatologic Ultrasound — Translational Evidence Dashboard</x:v>
      </x:c>
      <x:c r="B1" s="24"/>
      <x:c r="C1" s="24"/>
      <x:c r="D1" s="24"/>
      <x:c r="E1" s="24"/>
      <x:c r="F1" s="24"/>
    </x:row>
    <x:row r="3">
      <x:c r="A3" s="32" t="str">
        <x:v>Metric</x:v>
      </x:c>
      <x:c r="B3" s="32" t="str">
        <x:v>Count</x:v>
      </x:c>
      <x:c r="C3" s="32" t="str">
        <x:v>% of corpus</x:v>
      </x:c>
      <x:c r="D3" s="32" t="str">
        <x:v>Interpretation</x:v>
      </x:c>
      <x:c r="F3" s="27" t="str">
        <x:v>Scope composition</x:v>
      </x:c>
      <x:c r="G3" s="27"/>
      <x:c r="H3" s="27"/>
    </x:row>
    <x:row r="4">
      <x:c r="A4" s="8" t="str">
        <x:v>Total original studies</x:v>
      </x:c>
      <x:c r="B4" s="9" t="n">
        <x:f>COUNTA(Master_Extraction!$A$2:$A$100)</x:f>
        <x:v>35</x:v>
      </x:c>
      <x:c r="C4" s="33" t="n">
        <x:f>B4/B4</x:f>
        <x:v>1</x:v>
      </x:c>
      <x:c r="D4" s="9" t="str">
        <x:v>Current provisional primary corpus after database search + citation chasing</x:v>
      </x:c>
      <x:c r="F4" t="str">
        <x:v>Core clinical</x:v>
      </x:c>
      <x:c r="G4" t="n">
        <x:f>COUNTIF(Master_Extraction!$G$2:$G$100,"Core clinical")</x:f>
        <x:v>23</x:v>
      </x:c>
      <x:c r="H4" s="30" t="n">
        <x:f>G4/$B$4</x:f>
        <x:v>0.6571428571428571</x:v>
      </x:c>
    </x:row>
    <x:row r="5">
      <x:c r="A5" s="8" t="str">
        <x:v>Strict external clinical validation</x:v>
      </x:c>
      <x:c r="B5" s="9" t="n">
        <x:f>COUNTIF(Master_Extraction!$Y$2:$Y$100,"Yes")</x:f>
        <x:v>1</x:v>
      </x:c>
      <x:c r="C5" s="33" t="n">
        <x:f>B5/$B$4</x:f>
        <x:v>0.02857142857142857</x:v>
      </x:c>
      <x:c r="D5" s="9" t="str">
        <x:v>Independent clinical cohort from different centre(s), same task</x:v>
      </x:c>
      <x:c r="F5" t="str">
        <x:v>Technical/workflow</x:v>
      </x:c>
      <x:c r="G5" t="n">
        <x:f>COUNTIF(Master_Extraction!$G$2:$G$100,"Technical/workflow")</x:f>
        <x:v>8</x:v>
      </x:c>
      <x:c r="H5" s="30" t="n">
        <x:f>G5/$B$4</x:f>
        <x:v>0.22857142857142856</x:v>
      </x:c>
    </x:row>
    <x:row r="6">
      <x:c r="A6" s="8" t="str">
        <x:v>Prospective multicentre validation</x:v>
      </x:c>
      <x:c r="B6" s="9" t="n">
        <x:f>COUNTIF(Master_Extraction!$Z$2:$Z$100,"Yes")</x:f>
        <x:v>1</x:v>
      </x:c>
      <x:c r="C6" s="33" t="n">
        <x:f>B6/$B$4</x:f>
        <x:v>0.02857142857142857</x:v>
      </x:c>
      <x:c r="D6" s="9" t="str">
        <x:v>Prospective multicentre clinical validation</x:v>
      </x:c>
      <x:c r="F6" t="str">
        <x:v>Aesthetic</x:v>
      </x:c>
      <x:c r="G6" t="n">
        <x:f>COUNTIF(Master_Extraction!$G$2:$G$100,"Aesthetic")</x:f>
        <x:v>1</x:v>
      </x:c>
      <x:c r="H6" s="30" t="n">
        <x:f>G6/$B$4</x:f>
        <x:v>0.02857142857142857</x:v>
      </x:c>
    </x:row>
    <x:row r="7">
      <x:c r="A7" s="8" t="str">
        <x:v>Multisite data / evaluation</x:v>
      </x:c>
      <x:c r="B7" s="9" t="n">
        <x:f>COUNTIF(Master_Extraction!$Q$2:$Q$100,"Yes")</x:f>
        <x:v>4</x:v>
      </x:c>
      <x:c r="C7" s="33" t="n">
        <x:f>B7/$B$4</x:f>
        <x:v>0.11428571428571428</x:v>
      </x:c>
      <x:c r="D7" s="9" t="str">
        <x:v>Includes multicountry or cross-centre technical studies; broader than external clinical validation</x:v>
      </x:c>
      <x:c r="F7" t="str">
        <x:v>Physiology/aging</x:v>
      </x:c>
      <x:c r="G7" t="n">
        <x:f>COUNTIF(Master_Extraction!$G$2:$G$100,"Physiology/aging")</x:f>
        <x:v>2</x:v>
      </x:c>
      <x:c r="H7" s="30" t="n">
        <x:f>G7/$B$4</x:f>
        <x:v>0.05714285714285714</x:v>
      </x:c>
    </x:row>
    <x:row r="8">
      <x:c r="A8" s="8" t="str">
        <x:v>External image-set test</x:v>
      </x:c>
      <x:c r="B8" s="9" t="n">
        <x:f>COUNTIF(Master_Extraction!$W$2:$W$100,"Yes")</x:f>
        <x:v>4</x:v>
      </x:c>
      <x:c r="C8" s="33" t="n">
        <x:f>B8/$B$4</x:f>
        <x:v>0.11428571428571428</x:v>
      </x:c>
      <x:c r="D8" s="9" t="str">
        <x:v>Broad category: may include a public non-ultrasound benchmark or a second technical HFUS dataset; not equivalent to strict external clinical validation</x:v>
      </x:c>
      <x:c r="F8" t="str">
        <x:v>Cutaneous metabolic</x:v>
      </x:c>
      <x:c r="G8" t="n">
        <x:f>COUNTIF(Master_Extraction!$G$2:$G$100,"Cutaneous metabolic")</x:f>
        <x:v>1</x:v>
      </x:c>
      <x:c r="H8" s="30" t="n">
        <x:f>G8/$B$4</x:f>
        <x:v>0.02857142857142857</x:v>
      </x:c>
    </x:row>
    <x:row r="9">
      <x:c r="A9" s="8" t="str">
        <x:v>Cross-centre/device technical validation</x:v>
      </x:c>
      <x:c r="B9" s="9" t="n">
        <x:f>COUNTIF(Master_Extraction!$X$2:$X$100,"Yes")</x:f>
        <x:v>4</x:v>
      </x:c>
      <x:c r="C9" s="33" t="n">
        <x:f>B9/$B$4</x:f>
        <x:v>0.11428571428571428</x:v>
      </x:c>
      <x:c r="D9" s="9" t="str">
        <x:v>Technical transportability across centres/devices</x:v>
      </x:c>
    </x:row>
    <x:row r="10">
      <x:c r="A10" s="8" t="str">
        <x:v>Public study-specific code/repository identified</x:v>
      </x:c>
      <x:c r="B10" s="9" t="n">
        <x:f>COUNTIF(Master_Extraction!$AB$2:$AB$100,"Yes")</x:f>
        <x:v>5</x:v>
      </x:c>
      <x:c r="C10" s="33" t="n">
        <x:f>B10/$B$4</x:f>
        <x:v>0.14285714285714285</x:v>
      </x:c>
      <x:c r="D10" s="9" t="str">
        <x:v>Repository may still be incomplete</x:v>
      </x:c>
      <x:c r="F10" s="37" t="str">
        <x:v>Key caution</x:v>
      </x:c>
      <x:c r="G10" s="37"/>
      <x:c r="H10" s="37"/>
    </x:row>
    <x:row r="11">
      <x:c r="A11" s="8" t="str">
        <x:v>Complete open reproducibility package</x:v>
      </x:c>
      <x:c r="B11" s="9" t="n">
        <x:f>COUNTIFS(Master_Extraction!$AB$2:$AB$100,"Yes",Master_Extraction!$AD$2:$AD$100,"Yes",Master_Extraction!$AE$2:$AE$100,"Yes")</x:f>
        <x:v>0</x:v>
      </x:c>
      <x:c r="C11" s="33" t="n">
        <x:f>B11/$B$4</x:f>
        <x:v>0</x:v>
      </x:c>
      <x:c r="D11" s="9" t="str">
        <x:v>Requires code + study-specific weights/model + study-specific evaluation data</x:v>
      </x:c>
      <x:c r="F11" s="9" t="str">
        <x:v>Publication count is not equivalent to independent-cohort count. Confirmed reuse is deliberately conservative: only direct dataset evidence is counted. Additional possible lineages (Kia 2013/2019, Surkov 2024/Serebryakova 2026, Andrėkutė 2016/Tiwari 2020, and possibly Zhu/Xiao) remain unresolved and are NOT included in the reuse numerator.</x:v>
      </x:c>
      <x:c r="G11" s="9"/>
      <x:c r="H11" s="9"/>
    </x:row>
    <x:row r="12">
      <x:c r="A12" s="8" t="str">
        <x:v>Study-specific full data public</x:v>
      </x:c>
      <x:c r="B12" s="9" t="n">
        <x:f>COUNTIF(Master_Extraction!$AE$2:$AE$100,"Yes")</x:f>
        <x:v>7</x:v>
      </x:c>
      <x:c r="C12" s="33" t="n">
        <x:f>B12/$B$4</x:f>
        <x:v>0.2</x:v>
      </x:c>
      <x:c r="D12" s="9" t="str">
        <x:v>Does not include partial/pretraining-only data</x:v>
      </x:c>
      <x:c r="F12" s="9"/>
      <x:c r="G12" s="9"/>
      <x:c r="H12" s="9"/>
    </x:row>
    <x:row r="13">
      <x:c r="A13" s="8" t="str">
        <x:v>Human comparator</x:v>
      </x:c>
      <x:c r="B13" s="9" t="n">
        <x:f>COUNTIF(Master_Extraction!$AA$2:$AA$100,"Yes")</x:f>
        <x:v>5</x:v>
      </x:c>
      <x:c r="C13" s="33" t="n">
        <x:f>B13/$B$4</x:f>
        <x:v>0.14285714285714285</x:v>
      </x:c>
      <x:c r="D13" s="9" t="str">
        <x:v>Direct comparison with expert/manual assessment</x:v>
      </x:c>
      <x:c r="F13" s="9"/>
      <x:c r="G13" s="9"/>
      <x:c r="H13" s="9"/>
    </x:row>
    <x:row r="14">
      <x:c r="A14" s="8" t="str">
        <x:v>Point-of-care AI workflow demonstrated</x:v>
      </x:c>
      <x:c r="B14" s="9" t="n">
        <x:f>COUNTIF(Master_Extraction!$AJ$2:$AJ$100,"Yes")</x:f>
        <x:v>1</x:v>
      </x:c>
      <x:c r="C14" s="33" t="n">
        <x:f>B14/$B$4</x:f>
        <x:v>0.02857142857142857</x:v>
      </x:c>
      <x:c r="D14" s="9" t="str">
        <x:v>Integrated clinical workflow demonstration</x:v>
      </x:c>
      <x:c r="F14" s="9"/>
      <x:c r="G14" s="9"/>
      <x:c r="H14" s="9"/>
    </x:row>
    <x:row r="15">
      <x:c r="A15" s="8" t="str">
        <x:v>Routine clinical deployment</x:v>
      </x:c>
      <x:c r="B15" s="9" t="n">
        <x:f>COUNTIF(Master_Extraction!$AK$2:$AK$100,"Yes")</x:f>
        <x:v>0</x:v>
      </x:c>
      <x:c r="C15" s="33" t="n">
        <x:f>B15/$B$4</x:f>
        <x:v>0</x:v>
      </x:c>
      <x:c r="D15" s="9" t="str">
        <x:v>Published routine use beyond research evaluation</x:v>
      </x:c>
      <x:c r="F15" s="9"/>
      <x:c r="G15" s="9"/>
      <x:c r="H15" s="9"/>
    </x:row>
    <x:row r="16">
      <x:c r="A16" s="8" t="str">
        <x:v>Studies in confirmed dataset-reuse clusters</x:v>
      </x:c>
      <x:c r="B16" s="9" t="n">
        <x:f>COUNTIF(Master_Extraction!$AH$2:$AH$100,"Laverde_Kaggle")+COUNTIF(Master_Extraction!$AH$2:$AH$100,"AK_Mendeley")+COUNTIF(Master_Extraction!$AH$2:$AH$100,"Polish_75MHz")</x:f>
        <x:v>8</x:v>
      </x:c>
      <x:c r="C16" s="33" t="n">
        <x:f>B16/$B$4</x:f>
        <x:v>0.22857142857142856</x:v>
      </x:c>
      <x:c r="D16" s="9" t="str">
        <x:v>Confirmed by direct dataset evidence; possible lineages are not counted</x:v>
      </x:c>
      <x:c r="F16" s="9"/>
      <x:c r="G16" s="9"/>
      <x:c r="H16" s="9"/>
    </x:row>
    <x:row r="17">
      <x:c r="A17" s="8" t="str">
        <x:v>Known non-independent / overlapping cohort publications</x:v>
      </x:c>
      <x:c r="B17" s="9" t="n">
        <x:f>COUNTIF(Master_Extraction!$AI$2:$AI$100,"No")</x:f>
        <x:v>5</x:v>
      </x:c>
      <x:c r="C17" s="33" t="n">
        <x:f>B17/$B$4</x:f>
        <x:v>0.14285714285714285</x:v>
      </x:c>
      <x:c r="D17" s="9" t="str">
        <x:v>Reanalysis or partial/expanded overlap with another publication</x:v>
      </x:c>
    </x:row>
    <x:row r="18">
      <x:c r="A18" s="8" t="str">
        <x:v>Retrospective design explicitly stated</x:v>
      </x:c>
      <x:c r="B18" s="9" t="n">
        <x:f>COUNTIF(Master_Extraction!$N$2:$N$100,"Retrospective")+COUNTIF(Master_Extraction!$N$2:$N$100,"Retrospective secondary analysis")+COUNTIF(Master_Extraction!$N$2:$N$100,"Retrospective single-centre private dataset (2011–2020)")+COUNTIF(Master_Extraction!$N$2:$N$100,"Retrospective pilot")+COUNTIF(Master_Extraction!$N$2:$N$100,"Retrospective/model-development study")</x:f>
        <x:v>8</x:v>
      </x:c>
      <x:c r="C18" s="33" t="n">
        <x:f>B18/$B$4</x:f>
        <x:v>0.22857142857142856</x:v>
      </x:c>
      <x:c r="D18" s="9" t="str">
        <x:v>Conservative count; only rows explicitly labelled retrospective</x:v>
      </x:c>
    </x:row>
    <x:row r="19">
      <x:c r="A19" s="8" t="str">
        <x:v>Rows assigned one centre in current extraction</x:v>
      </x:c>
      <x:c r="B19" s="9" t="n">
        <x:f>COUNTIF(Master_Extraction!$O$2:$O$100,1)</x:f>
        <x:v>27</x:v>
      </x:c>
      <x:c r="C19" s="33" t="n">
        <x:f>B19/$B$4</x:f>
        <x:v>0.7714285714285715</x:v>
      </x:c>
      <x:c r="D19" s="9" t="str">
        <x:v>Descriptive extraction field; not used as a headline slide metric because several papers do not explicitly use the term single-centre</x:v>
      </x:c>
    </x:row>
  </x:sheetData>
  <x:mergeCells>
    <x:mergeCell ref="A1:F1"/>
    <x:mergeCell ref="F3:H3"/>
    <x:mergeCell ref="F10:H10"/>
    <x:mergeCell ref="F11:H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58" hidden="0" customWidth="1"/>
    <x:col min="4" max="4" width="60" hidden="0" customWidth="1"/>
    <x:col min="5" max="5" width="70" hidden="0" customWidth="1"/>
    <x:col min="6" max="6" width="24" hidden="0" customWidth="1"/>
    <x:col min="7" max="7" width="24" hidden="0" customWidth="1"/>
    <x:col min="8" max="8" width="72" hidden="0" customWidth="1"/>
    <x:col min="9" max="9" width="52" hidden="0" customWidth="1"/>
  </x:cols>
  <x:sheetData>
    <x:row r="1">
      <x:c r="A1" s="42" t="str">
        <x:v>Cluster</x:v>
      </x:c>
      <x:c r="B1" s="42" t="str">
        <x:v>Status</x:v>
      </x:c>
      <x:c r="C1" s="42" t="str">
        <x:v>Publications</x:v>
      </x:c>
      <x:c r="D1" s="42" t="str">
        <x:v>Relationship</x:v>
      </x:c>
      <x:c r="E1" s="42" t="str">
        <x:v>Source dataset / evidence</x:v>
      </x:c>
      <x:c r="F1" s="42" t="str">
        <x:v>Independent cohorts represented</x:v>
      </x:c>
      <x:c r="G1" s="42" t="str">
        <x:v>Counted in confirmed reuse metric?</x:v>
      </x:c>
      <x:c r="H1" s="42" t="str">
        <x:v>Implication</x:v>
      </x:c>
      <x:c r="I1" s="42" t="str">
        <x:v>Evidence URL</x:v>
      </x:c>
    </x:row>
    <x:row r="2">
      <x:c r="A2" s="9" t="str">
        <x:v>Laverde_Kaggle</x:v>
      </x:c>
      <x:c r="B2" s="9" t="str">
        <x:v>Confirmed</x:v>
      </x:c>
      <x:c r="C2" s="9" t="str">
        <x:v>Laverde-Saad 2022; da Silva 2026; Ayyildiz 2026</x:v>
      </x:c>
      <x:c r="D2" s="9" t="str">
        <x:v>Original cohort followed by two public-dataset reanalyses</x:v>
      </x:c>
      <x:c r="E2" s="9" t="str">
        <x:v>Kaggle dermatologic ultrasound dataset originally described by Laverde-Saad</x:v>
      </x:c>
      <x:c r="F2" s="9" t="str">
        <x:v>1 source cohort</x:v>
      </x:c>
      <x:c r="G2" s="9" t="str">
        <x:v>Yes</x:v>
      </x:c>
      <x:c r="H2" s="9" t="str">
        <x:v>3 publications do not represent 3 independent patient cohorts</x:v>
      </x:c>
      <x:c r="I2" s="9" t="str">
        <x:v>https://www.kaggle.com/datasets/alfageme/dermatologic-ultrasound-images</x:v>
      </x:c>
    </x:row>
    <x:row r="3">
      <x:c r="A3" s="9" t="str">
        <x:v>AK_Mendeley</x:v>
      </x:c>
      <x:c r="B3" s="9" t="str">
        <x:v>Confirmed</x:v>
      </x:c>
      <x:c r="C3" s="9" t="str">
        <x:v>Korecka 2024; Slian 2026</x:v>
      </x:c>
      <x:c r="D3" s="9" t="str">
        <x:v>Earlier dataset followed by explicitly expanded dataset</x:v>
      </x:c>
      <x:c r="E3" s="9" t="str">
        <x:v>Mendeley repository states the same dataset supports both papers; v3: 222 pairs / 74 patients</x:v>
      </x:c>
      <x:c r="F3" s="9" t="str">
        <x:v>1 lineage with expansion</x:v>
      </x:c>
      <x:c r="G3" s="9" t="str">
        <x:v>Yes</x:v>
      </x:c>
      <x:c r="H3" s="9" t="str">
        <x:v>Later paper adds data but is not an entirely independent cohort</x:v>
      </x:c>
      <x:c r="I3" s="9" t="str">
        <x:v>https://data.mendeley.com/datasets/w3x8p3bf42/3</x:v>
      </x:c>
    </x:row>
    <x:row r="4">
      <x:c r="A4" s="9" t="str">
        <x:v>Polish_75MHz</x:v>
      </x:c>
      <x:c r="B4" s="9" t="str">
        <x:v>Confirmed overlap</x:v>
      </x:c>
      <x:c r="C4" s="9" t="str">
        <x:v>Czajkowska 2021 segmentation; Czajkowska 2022 epidermis; Czajkowska 2021 classification</x:v>
      </x:c>
      <x:c r="D4" s="9" t="str">
        <x:v>Shared 380-patient inflammatory HFUS component; later datasets add other images</x:v>
      </x:c>
      <x:c r="E4" s="9" t="str">
        <x:v>Public 380-image/380-patient AD+psoriasis dataset</x:v>
      </x:c>
      <x:c r="F4" s="9" t="str">
        <x:v>At least 1 shared source component</x:v>
      </x:c>
      <x:c r="G4" s="9" t="str">
        <x:v>Yes</x:v>
      </x:c>
      <x:c r="H4" s="9" t="str">
        <x:v>Reported publication/image counts partly reuse the same patient/image source</x:v>
      </x:c>
      <x:c r="I4" s="9" t="str">
        <x:v>https://data.mendeley.com/datasets/5p7fxjt7vs/1</x:v>
      </x:c>
    </x:row>
    <x:row r="5">
      <x:c r="A5" s="9" t="str">
        <x:v>Kia historical</x:v>
      </x:c>
      <x:c r="B5" s="9" t="str">
        <x:v>Likely / unresolved</x:v>
      </x:c>
      <x:c r="C5" s="9" t="str">
        <x:v>Kia 2013; Kia 2019</x:v>
      </x:c>
      <x:c r="D5" s="9" t="str">
        <x:v>Same group and historical model lineage; later 2019 study uses larger 400-patient database</x:v>
      </x:c>
      <x:c r="E5" s="9" t="str">
        <x:v>Direct patient-level overlap not confirmed</x:v>
      </x:c>
      <x:c r="F5" s="9" t="str">
        <x:v>Unclear</x:v>
      </x:c>
      <x:c r="G5" s="9" t="str">
        <x:v>No</x:v>
      </x:c>
      <x:c r="H5" s="9" t="str">
        <x:v>Do not count as confirmed reuse until patient-level lineage is verified</x:v>
      </x:c>
      <x:c r="I5" s="9" t="str">
        <x:v>https://doi.org/10.1002/acm2.12671</x:v>
      </x:c>
    </x:row>
    <x:row r="6">
      <x:c r="A6" s="9" t="str">
        <x:v>Saratov BCC multimodal</x:v>
      </x:c>
      <x:c r="B6" s="9" t="str">
        <x:v>Possible / unresolved</x:v>
      </x:c>
      <x:c r="C6" s="9" t="str">
        <x:v>Surkov 2024; Serebryakova 2026</x:v>
      </x:c>
      <x:c r="D6" s="9" t="str">
        <x:v>Same group and same HFUS/OCT/DRS modality family</x:v>
      </x:c>
      <x:c r="E6" s="9" t="str">
        <x:v>No accessible evidence yet proving identical patient cohort</x:v>
      </x:c>
      <x:c r="F6" s="9" t="str">
        <x:v>Unclear</x:v>
      </x:c>
      <x:c r="G6" s="9" t="str">
        <x:v>No</x:v>
      </x:c>
      <x:c r="H6" s="9" t="str">
        <x:v>Potential additional reuse but excluded from conservative reuse numerator</x:v>
      </x:c>
      <x:c r="I6" s="9" t="str">
        <x:v>https://doi.org/10.3390/diagnostics14020202</x:v>
      </x:c>
    </x:row>
    <x:row r="7">
      <x:c r="A7" s="9" t="str">
        <x:v>Lithuanian melanocytic</x:v>
      </x:c>
      <x:c r="B7" s="9" t="str">
        <x:v>Possible / unresolved</x:v>
      </x:c>
      <x:c r="C7" s="9" t="str">
        <x:v>Andrėkutė 2016; Tiwari 2020</x:v>
      </x:c>
      <x:c r="D7" s="9" t="str">
        <x:v>Same Lithuanian research lineage and melanoma/nevi HFUS focus</x:v>
      </x:c>
      <x:c r="E7" s="9" t="str">
        <x:v>No direct patient-overlap evidence identified</x:v>
      </x:c>
      <x:c r="F7" s="9" t="str">
        <x:v>Unclear</x:v>
      </x:c>
      <x:c r="G7" s="9" t="str">
        <x:v>No</x:v>
      </x:c>
      <x:c r="H7" s="9" t="str">
        <x:v>Potential overlap; not counted</x:v>
      </x:c>
      <x:c r="I7" s="9" t="str">
        <x:v>https://doi.org/10.3390/diagnostics10090632</x:v>
      </x:c>
    </x:row>
    <x:row r="8">
      <x:c r="A8" s="9" t="str">
        <x:v>Zhu / Xiao multimodal</x:v>
      </x:c>
      <x:c r="B8" s="9" t="str">
        <x:v>Possible / unresolved</x:v>
      </x:c>
      <x:c r="C8" s="9" t="str">
        <x:v>Zhu 2024; Xiao 2025</x:v>
      </x:c>
      <x:c r="D8" s="9" t="str">
        <x:v>Shared authors and closely related clinical+ultrasound multimodal research programme</x:v>
      </x:c>
      <x:c r="E8" s="9" t="str">
        <x:v>Dataset size/details for Xiao not accessible in current extraction</x:v>
      </x:c>
      <x:c r="F8" s="9" t="str">
        <x:v>Unclear</x:v>
      </x:c>
      <x:c r="G8" s="9" t="str">
        <x:v>No</x:v>
      </x:c>
      <x:c r="H8" s="9" t="str">
        <x:v>Do not assume reuse from authorship alone</x:v>
      </x:c>
      <x:c r="I8" s="9" t="str">
        <x:v>https://doi.org/10.1109/TMI.2024.3450682</x:v>
      </x:c>
    </x:row>
  </x:sheetData>
  <x:pageMargins left="0.7" right="0.7" top="0.75" bottom="0.75" header="0.3" footer="0.3"/>
  <x:tableParts count="1">
    <x:tablePart xmlns:r="http://schemas.openxmlformats.org/officeDocument/2006/relationships" r:id="Rda23f7527acd44f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50" hidden="0" customWidth="1"/>
    <x:col min="4" max="4" width="50" hidden="0" customWidth="1"/>
    <x:col min="5" max="5" width="58" hidden="0" customWidth="1"/>
    <x:col min="6" max="6" width="72" hidden="0" customWidth="1"/>
    <x:col min="7" max="7" width="16" hidden="0" customWidth="1"/>
    <x:col min="8" max="8" width="76" hidden="0" customWidth="1"/>
  </x:cols>
  <x:sheetData>
    <x:row r="1">
      <x:c r="A1" s="13" t="str">
        <x:v>Study_ID</x:v>
      </x:c>
      <x:c r="B1" s="13" t="str">
        <x:v>Study</x:v>
      </x:c>
      <x:c r="C1" s="13" t="str">
        <x:v>Primary source</x:v>
      </x:c>
      <x:c r="D1" s="13" t="str">
        <x:v>Code source</x:v>
      </x:c>
      <x:c r="E1" s="13" t="str">
        <x:v>Data source</x:v>
      </x:c>
      <x:c r="F1" s="13" t="str">
        <x:v>What was verified</x:v>
      </x:c>
      <x:c r="G1" s="13" t="str">
        <x:v>Confidence</x:v>
      </x:c>
      <x:c r="H1" s="13" t="str">
        <x:v>Audit note</x:v>
      </x:c>
    </x:row>
    <x:row r="2">
      <x:c r="A2" s="9" t="str">
        <x:v>S01</x:v>
      </x:c>
      <x:c r="B2" s="9" t="str">
        <x:v>Slian et al. 2026</x:v>
      </x:c>
      <x:c r="C2" s="9" t="str">
        <x:v>https://doi.org/10.1016/j.cmpb.2026.109364</x:v>
      </x:c>
      <x:c r="D2" s="9" t="str"/>
      <x:c r="E2" s="9" t="str">
        <x:v>https://data.mendeley.com/datasets/w3x8p3bf42/3</x:v>
      </x:c>
      <x:c r="F2" s="9" t="str">
        <x:v>Bibliography, ultrasound/AI task, validation design and key translational fields extracted from article/abstract/full-text sources available in the review workflow.</x:v>
      </x:c>
      <x:c r="G2" s="9" t="str">
        <x:v>High</x:v>
      </x:c>
      <x:c r="H2" s="9" t="str">
        <x:v>Expanded version of the AK multimodal dataset; dataset repository v3 supports both Korecka 2024 and Slian 2026. Publication count therefore exceeds independent-cohort count.</x:v>
      </x:c>
    </x:row>
    <x:row r="3">
      <x:c r="A3" s="9" t="str">
        <x:v>S02</x:v>
      </x:c>
      <x:c r="B3" s="9" t="str">
        <x:v>Wortsman et al. 2026</x:v>
      </x:c>
      <x:c r="C3" s="9" t="str">
        <x:v>https://doi.org/10.1002/jum.70079</x:v>
      </x:c>
      <x:c r="D3" s="9" t="str"/>
      <x:c r="E3" s="9" t="str"/>
      <x:c r="F3" s="9" t="str">
        <x:v>Bibliography, ultrasound/AI task, validation design and key translational fields extracted from article/abstract/full-text sources available in the review workflow.</x:v>
      </x:c>
      <x:c r="G3" s="9" t="str">
        <x:v>High</x:v>
      </x:c>
      <x:c r="H3" s="9" t="str">
        <x:v>Strong heterogeneity across physicians/countries/devices, but pooled random CV is not center-held-out external clinical validation.</x:v>
      </x:c>
    </x:row>
    <x:row r="4">
      <x:c r="A4" s="9" t="str">
        <x:v>S03</x:v>
      </x:c>
      <x:c r="B4" s="9" t="str">
        <x:v>da Silva et al. 2026</x:v>
      </x:c>
      <x:c r="C4" s="9" t="str">
        <x:v>https://doi.org/10.1002/jum.70125</x:v>
      </x:c>
      <x:c r="D4" s="9" t="str"/>
      <x:c r="E4" s="9" t="str">
        <x:v>https://www.kaggle.com/datasets/alfageme/dermatologic-ultrasound-images</x:v>
      </x:c>
      <x:c r="F4" s="9" t="str">
        <x:v>Bibliography, ultrasound/AI task, validation design and key translational fields extracted from article/abstract/full-text sources available in the review workflow.</x:v>
      </x:c>
      <x:c r="G4" s="9" t="str">
        <x:v>High</x:v>
      </x:c>
      <x:c r="H4" s="9" t="str">
        <x:v>Direct reanalysis of the dataset originally described by Laverde-Saad; does not add an independent patient cohort.</x:v>
      </x:c>
    </x:row>
    <x:row r="5">
      <x:c r="A5" s="9" t="str">
        <x:v>S04</x:v>
      </x:c>
      <x:c r="B5" s="9" t="str">
        <x:v>Zhang et al. 2026</x:v>
      </x:c>
      <x:c r="C5" s="9" t="str">
        <x:v>https://doi.org/10.7507/1001-5515.202510021</x:v>
      </x:c>
      <x:c r="D5" s="9" t="str"/>
      <x:c r="E5" s="9" t="str"/>
      <x:c r="F5" s="9" t="str">
        <x:v>Bibliography, ultrasound/AI task, validation design and key translational fields extracted from article/abstract/full-text sources available in the review workflow.</x:v>
      </x:c>
      <x:c r="G5" s="9" t="str">
        <x:v>High</x:v>
      </x:c>
      <x:c r="H5" s="9" t="str">
        <x:v>Healthy-women aging dataset; technical/physiologic rather than disease-diagnostic endpoint.</x:v>
      </x:c>
    </x:row>
    <x:row r="6">
      <x:c r="A6" s="9" t="str">
        <x:v>S05</x:v>
      </x:c>
      <x:c r="B6" s="9" t="str">
        <x:v>Boostani et al. 2026</x:v>
      </x:c>
      <x:c r="C6" s="9" t="str">
        <x:v>https://doi.org/10.1016/j.xjidi.2025.100446</x:v>
      </x:c>
      <x:c r="D6" s="9" t="str"/>
      <x:c r="E6" s="9" t="str"/>
      <x:c r="F6" s="9" t="str">
        <x:v>Bibliography, ultrasound/AI task, validation design and key translational fields extracted from article/abstract/full-text sources available in the review workflow.</x:v>
      </x:c>
      <x:c r="G6" s="9" t="str">
        <x:v>High</x:v>
      </x:c>
      <x:c r="H6" s="9" t="str">
        <x:v>Strongest example of integrated real-time/point-of-care AI-enhanced dermatologic ultrasound. Does not demonstrate routine deployment or patient-outcome benefit.</x:v>
      </x:c>
    </x:row>
    <x:row r="7">
      <x:c r="A7" s="9" t="str">
        <x:v>S06</x:v>
      </x:c>
      <x:c r="B7" s="9" t="str">
        <x:v>Ayyildiz 2026</x:v>
      </x:c>
      <x:c r="C7" s="9" t="str">
        <x:v>https://doi.org/10.14744/eamr.2026.03206</x:v>
      </x:c>
      <x:c r="D7" s="9" t="str"/>
      <x:c r="E7" s="9" t="str">
        <x:v>https://www.kaggle.com/datasets/alfageme/dermatologic-ultrasound-images</x:v>
      </x:c>
      <x:c r="F7" s="9" t="str">
        <x:v>Bibliography, ultrasound/AI task, validation design and key translational fields extracted from article/abstract/full-text sources available in the review workflow.</x:v>
      </x:c>
      <x:c r="G7" s="9" t="str">
        <x:v>High</x:v>
      </x:c>
      <x:c r="H7" s="9" t="str">
        <x:v>Reuses the public Laverde-Saad dataset; 190 final lesions after exclusions.</x:v>
      </x:c>
    </x:row>
    <x:row r="8">
      <x:c r="A8" s="9" t="str">
        <x:v>S07</x:v>
      </x:c>
      <x:c r="B8" s="9" t="str">
        <x:v>Serebryakova et al. 2026</x:v>
      </x:c>
      <x:c r="C8" s="9" t="str">
        <x:v>https://doi.org/10.1109/JSTQE.2026.3670391</x:v>
      </x:c>
      <x:c r="D8" s="9" t="str"/>
      <x:c r="E8" s="9" t="str"/>
      <x:c r="F8" s="9" t="str">
        <x:v>Bibliography and core AI+ultrasound eligibility verified; one or more dataset/design details remain unavailable from accessible sources.</x:v>
      </x:c>
      <x:c r="G8" s="9" t="str">
        <x:v>Moderate</x:v>
      </x:c>
      <x:c r="H8" s="9" t="str">
        <x:v>Same research group/modalities as Surkov 2024; cohort overlap is plausible but not yet confirmed. Keep lineage as unresolved rather than counting reuse.</x:v>
      </x:c>
    </x:row>
    <x:row r="9">
      <x:c r="A9" s="9" t="str">
        <x:v>S08</x:v>
      </x:c>
      <x:c r="B9" s="9" t="str">
        <x:v>Qin et al. 2025</x:v>
      </x:c>
      <x:c r="C9" s="9" t="str">
        <x:v>https://doi.org/10.11152/mu-4504</x:v>
      </x:c>
      <x:c r="D9" s="9" t="str"/>
      <x:c r="E9" s="9" t="str"/>
      <x:c r="F9" s="9" t="str">
        <x:v>Bibliography, ultrasound/AI task, validation design and key translational fields extracted from article/abstract/full-text sources available in the review workflow.</x:v>
      </x:c>
      <x:c r="G9" s="9" t="str">
        <x:v>High</x:v>
      </x:c>
      <x:c r="H9" s="9" t="str">
        <x:v>Small retrospective single-centre cohort; no external-site validation.</x:v>
      </x:c>
    </x:row>
    <x:row r="10">
      <x:c r="A10" s="9" t="str">
        <x:v>S09</x:v>
      </x:c>
      <x:c r="B10" s="9" t="str">
        <x:v>Xiao et al. 2025</x:v>
      </x:c>
      <x:c r="C10" s="9" t="str">
        <x:v>https://doi.org/10.1109/TMI.2024.3450682</x:v>
      </x:c>
      <x:c r="D10" s="9" t="str">
        <x:v>https://github.com/XCL-hub/AGFnet</x:v>
      </x:c>
      <x:c r="E10" s="9" t="str"/>
      <x:c r="F10" s="9" t="str">
        <x:v>Bibliography and core AI+ultrasound eligibility verified; one or more dataset/design details remain unavailable from accessible sources.</x:v>
      </x:c>
      <x:c r="G10" s="9" t="str">
        <x:v>Moderate</x:v>
      </x:c>
      <x:c r="H10" s="9" t="str">
        <x:v>Shares authors and clinical-ultrasound research lineage with Zhu 2024; dataset overlap remains unresolved and is not counted as confirmed reuse.</x:v>
      </x:c>
    </x:row>
    <x:row r="11">
      <x:c r="A11" s="9" t="str">
        <x:v>S10</x:v>
      </x:c>
      <x:c r="B11" s="9" t="str">
        <x:v>Zhao et al. 2025</x:v>
      </x:c>
      <x:c r="C11" s="9" t="str">
        <x:v>https://doi.org/10.1016/j.engappai.2025.112025</x:v>
      </x:c>
      <x:c r="D11" s="9" t="str">
        <x:v>https://github.com/Zhaocheng1/LGL-Net</x:v>
      </x:c>
      <x:c r="E11" s="9" t="str"/>
      <x:c r="F11" s="9" t="str">
        <x:v>Bibliography, ultrasound/AI task, validation design and key translational fields extracted from article/abstract/full-text sources available in the review workflow.</x:v>
      </x:c>
      <x:c r="G11" s="9" t="str">
        <x:v>High</x:v>
      </x:c>
      <x:c r="H11" s="9" t="str">
        <x:v>Private ultrasound cohort from one hospital. External/public benchmark is not an external clinical ultrasound validation.</x:v>
      </x:c>
    </x:row>
    <x:row r="12">
      <x:c r="A12" s="9" t="str">
        <x:v>S11</x:v>
      </x:c>
      <x:c r="B12" s="9" t="str">
        <x:v>Vergilio et al. 2025</x:v>
      </x:c>
      <x:c r="C12" s="9" t="str">
        <x:v>https://doi.org/10.1016/j.bspc.2024.106962</x:v>
      </x:c>
      <x:c r="D12" s="9" t="str"/>
      <x:c r="E12" s="9" t="str"/>
      <x:c r="F12" s="9" t="str">
        <x:v>Bibliography, ultrasound/AI task, validation design and key translational fields extracted from article/abstract/full-text sources available in the review workflow.</x:v>
      </x:c>
      <x:c r="G12" s="9" t="str">
        <x:v>High</x:v>
      </x:c>
      <x:c r="H12" s="9" t="str">
        <x:v>Independent validation is within the same overall laboratory/source population, not external-site validation.</x:v>
      </x:c>
    </x:row>
    <x:row r="13">
      <x:c r="A13" s="9" t="str">
        <x:v>S12</x:v>
      </x:c>
      <x:c r="B13" s="9" t="str">
        <x:v>Slian et al. 2025</x:v>
      </x:c>
      <x:c r="C13" s="9" t="str">
        <x:v>https://doi.org/10.1016/j.cmpb.2025.108668</x:v>
      </x:c>
      <x:c r="D13" s="9" t="str"/>
      <x:c r="E13" s="9" t="str">
        <x:v>https://data.mendeley.com/datasets/5p7fxjt7vs/1</x:v>
      </x:c>
      <x:c r="F13" s="9" t="str">
        <x:v>Bibliography, ultrasound/AI task, validation design and key translational fields extracted from article/abstract/full-text sources available in the review workflow.</x:v>
      </x:c>
      <x:c r="G13" s="9" t="str">
        <x:v>High</x:v>
      </x:c>
      <x:c r="H13" s="9" t="str">
        <x:v>Useful cross-centre/device technical validation, but not external clinical diagnostic validation.</x:v>
      </x:c>
    </x:row>
    <x:row r="14">
      <x:c r="A14" s="9" t="str">
        <x:v>S13</x:v>
      </x:c>
      <x:c r="B14" s="9" t="str">
        <x:v>Czajkowska et al. 2025</x:v>
      </x:c>
      <x:c r="C14" s="9" t="str">
        <x:v>https://doi.org/10.1038/s41598-024-84051-6</x:v>
      </x:c>
      <x:c r="D14" s="9" t="str"/>
      <x:c r="E14" s="9" t="str">
        <x:v>https://data.mendeley.com/datasets/5p7fxjt7vs/1</x:v>
      </x:c>
      <x:c r="F14" s="9" t="str">
        <x:v>Bibliography, ultrasound/AI task, validation design and key translational fields extracted from article/abstract/full-text sources available in the review workflow.</x:v>
      </x:c>
      <x:c r="G14" s="9" t="str">
        <x:v>High</x:v>
      </x:c>
      <x:c r="H14" s="9" t="str">
        <x:v>Performance comparable with expert staging, but no independent external cohort.</x:v>
      </x:c>
    </x:row>
    <x:row r="15">
      <x:c r="A15" s="9" t="str">
        <x:v>S14</x:v>
      </x:c>
      <x:c r="B15" s="9" t="str">
        <x:v>Zhu et al. 2024</x:v>
      </x:c>
      <x:c r="C15" s="9" t="str">
        <x:v>https://doi.org/10.1016/j.eclinm.2023.102391</x:v>
      </x:c>
      <x:c r="D15" s="9" t="str">
        <x:v>https://github.com/cao1124/SkinLesionClassification</x:v>
      </x:c>
      <x:c r="E15" s="9" t="str"/>
      <x:c r="F15" s="9" t="str">
        <x:v>Bibliography, ultrasound/AI task, validation design and key translational fields extracted from article/abstract/full-text sources available in the review workflow.</x:v>
      </x:c>
      <x:c r="G15" s="9" t="str">
        <x:v>High</x:v>
      </x:c>
      <x:c r="H15" s="9" t="str">
        <x:v>Only clear prospective multicentre external clinical validation in the current corpus. Prospective evaluation is not the same as routine deployment.</x:v>
      </x:c>
    </x:row>
    <x:row r="16">
      <x:c r="A16" s="9" t="str">
        <x:v>S15</x:v>
      </x:c>
      <x:c r="B16" s="9" t="str">
        <x:v>Korecka et al. 2024</x:v>
      </x:c>
      <x:c r="C16" s="9" t="str">
        <x:v>https://doi.org/10.3390/jcm13247499</x:v>
      </x:c>
      <x:c r="D16" s="9" t="str"/>
      <x:c r="E16" s="9" t="str">
        <x:v>https://data.mendeley.com/datasets/w3x8p3bf42/3</x:v>
      </x:c>
      <x:c r="F16" s="9" t="str">
        <x:v>Bibliography, ultrasound/AI task, validation design and key translational fields extracted from article/abstract/full-text sources available in the review workflow.</x:v>
      </x:c>
      <x:c r="G16" s="9" t="str">
        <x:v>High</x:v>
      </x:c>
      <x:c r="H16" s="9" t="str">
        <x:v>Source/earlier version of the AK dataset later expanded in Slian 2026.</x:v>
      </x:c>
    </x:row>
    <x:row r="17">
      <x:c r="A17" s="9" t="str">
        <x:v>S16</x:v>
      </x:c>
      <x:c r="B17" s="9" t="str">
        <x:v>Li et al. 2024</x:v>
      </x:c>
      <x:c r="C17" s="9" t="str">
        <x:v>https://doi.org/10.62347/aqsj3784</x:v>
      </x:c>
      <x:c r="D17" s="9" t="str"/>
      <x:c r="E17" s="9" t="str"/>
      <x:c r="F17" s="9" t="str">
        <x:v>Bibliography, ultrasound/AI task, validation design and key translational fields extracted from article/abstract/full-text sources available in the review workflow.</x:v>
      </x:c>
      <x:c r="G17" s="9" t="str">
        <x:v>High</x:v>
      </x:c>
      <x:c r="H17" s="9" t="str">
        <x:v>Single-hospital retrospective radiomics model; internal split only.</x:v>
      </x:c>
    </x:row>
    <x:row r="18">
      <x:c r="A18" s="9" t="str">
        <x:v>S17</x:v>
      </x:c>
      <x:c r="B18" s="9" t="str">
        <x:v>Surkov et al. 2024</x:v>
      </x:c>
      <x:c r="C18" s="9" t="str">
        <x:v>https://doi.org/10.3390/diagnostics14020202</x:v>
      </x:c>
      <x:c r="D18" s="9" t="str"/>
      <x:c r="E18" s="9" t="str"/>
      <x:c r="F18" s="9" t="str">
        <x:v>Bibliography, ultrasound/AI task, validation design and key translational fields extracted from article/abstract/full-text sources available in the review workflow.</x:v>
      </x:c>
      <x:c r="G18" s="9" t="str">
        <x:v>High</x:v>
      </x:c>
      <x:c r="H18" s="9" t="str">
        <x:v>Small cohort. Same research group/modalities as Serebryakova 2026; possible dataset lineage not yet confirmed.</x:v>
      </x:c>
    </x:row>
    <x:row r="19">
      <x:c r="A19" s="9" t="str">
        <x:v>S18</x:v>
      </x:c>
      <x:c r="B19" s="9" t="str">
        <x:v>Lee et al. 2023</x:v>
      </x:c>
      <x:c r="C19" s="9" t="str">
        <x:v>https://doi.org/10.3390/s23177374</x:v>
      </x:c>
      <x:c r="D19" s="9" t="str"/>
      <x:c r="E19" s="9" t="str"/>
      <x:c r="F19" s="9" t="str">
        <x:v>Bibliography, ultrasound/AI task, validation design and key translational fields extracted from article/abstract/full-text sources available in the review workflow.</x:v>
      </x:c>
      <x:c r="G19" s="9" t="str">
        <x:v>High</x:v>
      </x:c>
      <x:c r="H19" s="9" t="str">
        <x:v>Single-centre retrospective image study; no independent external validation.</x:v>
      </x:c>
    </x:row>
    <x:row r="20">
      <x:c r="A20" s="9" t="str">
        <x:v>S19</x:v>
      </x:c>
      <x:c r="B20" s="9" t="str">
        <x:v>Feng et al. 2022</x:v>
      </x:c>
      <x:c r="C20" s="9" t="str">
        <x:v>https://doi.org/10.1155/2022/1526540</x:v>
      </x:c>
      <x:c r="D20" s="9" t="str"/>
      <x:c r="E20" s="9" t="str"/>
      <x:c r="F20" s="9" t="str">
        <x:v>Bibliography, ultrasound/AI task, validation design and key translational fields extracted from article/abstract/full-text sources available in the review workflow.</x:v>
      </x:c>
      <x:c r="G20" s="9" t="str">
        <x:v>High</x:v>
      </x:c>
      <x:c r="H20" s="9" t="str">
        <x:v>Authors explicitly call for external prospective validation.</x:v>
      </x:c>
    </x:row>
    <x:row r="21">
      <x:c r="A21" s="9" t="str">
        <x:v>S20</x:v>
      </x:c>
      <x:c r="B21" s="9" t="str">
        <x:v>Lee et al. 2022</x:v>
      </x:c>
      <x:c r="C21" s="9" t="str">
        <x:v>https://doi.org/10.1038/s41598-022-20969-z</x:v>
      </x:c>
      <x:c r="D21" s="9" t="str"/>
      <x:c r="E21" s="9" t="str"/>
      <x:c r="F21" s="9" t="str">
        <x:v>Bibliography, ultrasound/AI task, validation design and key translational fields extracted from article/abstract/full-text sources available in the review workflow.</x:v>
      </x:c>
      <x:c r="G21" s="9" t="str">
        <x:v>High</x:v>
      </x:c>
      <x:c r="H21" s="9" t="str">
        <x:v>Technical/anatomic classification rather than disease diagnosis.</x:v>
      </x:c>
    </x:row>
    <x:row r="22">
      <x:c r="A22" s="9" t="str">
        <x:v>S21</x:v>
      </x:c>
      <x:c r="B22" s="9" t="str">
        <x:v>Czajkowska et al. 2022</x:v>
      </x:c>
      <x:c r="C22" s="9" t="str">
        <x:v>https://doi.org/10.1016/j.compmedimag.2021.102023</x:v>
      </x:c>
      <x:c r="D22" s="9" t="str"/>
      <x:c r="E22" s="9" t="str">
        <x:v>https://data.mendeley.com/datasets/5p7fxjt7vs/1</x:v>
      </x:c>
      <x:c r="F22" s="9" t="str">
        <x:v>Bibliography, ultrasound/AI task, validation design and key translational fields extracted from article/abstract/full-text sources available in the review workflow.</x:v>
      </x:c>
      <x:c r="G22" s="9" t="str">
        <x:v>High</x:v>
      </x:c>
      <x:c r="H22" s="9" t="str">
        <x:v>Contains substantial overlap with the public 380-patient inflammatory HFUS cohort, plus additional tumor images.</x:v>
      </x:c>
    </x:row>
    <x:row r="23">
      <x:c r="A23" s="9" t="str">
        <x:v>S22</x:v>
      </x:c>
      <x:c r="B23" s="9" t="str">
        <x:v>Laverde-Saad et al. 2022</x:v>
      </x:c>
      <x:c r="C23" s="9" t="str">
        <x:v>https://doi.org/10.1111/srt.13086</x:v>
      </x:c>
      <x:c r="D23" s="9" t="str"/>
      <x:c r="E23" s="9" t="str">
        <x:v>https://www.kaggle.com/datasets/alfageme/dermatologic-ultrasound-images</x:v>
      </x:c>
      <x:c r="F23" s="9" t="str">
        <x:v>Bibliography, ultrasound/AI task, validation design and key translational fields extracted from article/abstract/full-text sources available in the review workflow.</x:v>
      </x:c>
      <x:c r="G23" s="9" t="str">
        <x:v>High</x:v>
      </x:c>
      <x:c r="H23" s="9" t="str">
        <x:v>Test images were from the same institutional database and all scans used one machine; therefore not external validation. Dataset later became public.</x:v>
      </x:c>
    </x:row>
    <x:row r="24">
      <x:c r="A24" s="9" t="str">
        <x:v>S23</x:v>
      </x:c>
      <x:c r="B24" s="9" t="str">
        <x:v>Czajkowska et al. 2022</x:v>
      </x:c>
      <x:c r="C24" s="9" t="str">
        <x:v>https://doi.org/10.3390/s22041478</x:v>
      </x:c>
      <x:c r="D24" s="9" t="str"/>
      <x:c r="E24" s="9" t="str">
        <x:v>https://data.mendeley.com/datasets/td8r3ty79b/1</x:v>
      </x:c>
      <x:c r="F24" s="9" t="str">
        <x:v>Bibliography, ultrasound/AI task, validation design and key translational fields extracted from article/abstract/full-text sources available in the review workflow.</x:v>
      </x:c>
      <x:c r="G24" s="9" t="str">
        <x:v>High</x:v>
      </x:c>
      <x:c r="H24" s="9" t="str">
        <x:v>Quality-control/technical study; not a disease diagnostic model.</x:v>
      </x:c>
    </x:row>
    <x:row r="25">
      <x:c r="A25" s="9" t="str">
        <x:v>S24</x:v>
      </x:c>
      <x:c r="B25" s="9" t="str">
        <x:v>Bandari et al. 2022</x:v>
      </x:c>
      <x:c r="C25" s="9" t="str">
        <x:v>https://doi.org/10.2196/34830</x:v>
      </x:c>
      <x:c r="D25" s="9" t="str"/>
      <x:c r="E25" s="9" t="str"/>
      <x:c r="F25" s="9" t="str">
        <x:v>Bibliography, ultrasound/AI task, validation design and key translational fields extracted from article/abstract/full-text sources available in the review workflow.</x:v>
      </x:c>
      <x:c r="G25" s="9" t="str">
        <x:v>High</x:v>
      </x:c>
      <x:c r="H25" s="9" t="str">
        <x:v>Bedside proof-of-concept; no external validation or routine workflow deployment shown.</x:v>
      </x:c>
    </x:row>
    <x:row r="26">
      <x:c r="A26" s="9" t="str">
        <x:v>S25</x:v>
      </x:c>
      <x:c r="B26" s="9" t="str">
        <x:v>Faita et al. 2022</x:v>
      </x:c>
      <x:c r="C26" s="9" t="str">
        <x:v>https://doi.org/10.1111/exd.14330</x:v>
      </x:c>
      <x:c r="D26" s="9" t="str"/>
      <x:c r="E26" s="9" t="str"/>
      <x:c r="F26" s="9" t="str">
        <x:v>Bibliography, ultrasound/AI task, validation design and key translational fields extracted from article/abstract/full-text sources available in the review workflow.</x:v>
      </x:c>
      <x:c r="G26" s="9" t="str">
        <x:v>High</x:v>
      </x:c>
      <x:c r="H26" s="9" t="str">
        <x:v>Very small cohort; no external validation.</x:v>
      </x:c>
    </x:row>
    <x:row r="27">
      <x:c r="A27" s="9" t="str">
        <x:v>S26</x:v>
      </x:c>
      <x:c r="B27" s="9" t="str">
        <x:v>Lee et al. 2021</x:v>
      </x:c>
      <x:c r="C27" s="9" t="str">
        <x:v>https://www.jaad.org/article/S0190-9622(21)01965-2/fulltext</x:v>
      </x:c>
      <x:c r="D27" s="9" t="str"/>
      <x:c r="E27" s="9" t="str"/>
      <x:c r="F27" s="9" t="str">
        <x:v>Bibliography and core AI+ultrasound eligibility verified; one or more dataset/design details remain unavailable from accessible sources.</x:v>
      </x:c>
      <x:c r="G27" s="9" t="str">
        <x:v>Moderate</x:v>
      </x:c>
      <x:c r="H27" s="9" t="str">
        <x:v>External image-set test is not an independent prospectively acquired clinical patient cohort.</x:v>
      </x:c>
    </x:row>
    <x:row r="28">
      <x:c r="A28" s="9" t="str">
        <x:v>S27</x:v>
      </x:c>
      <x:c r="B28" s="9" t="str">
        <x:v>Marosán-Vilimszky et al. 2021</x:v>
      </x:c>
      <x:c r="C28" s="9" t="str">
        <x:v>https://doi.org/10.3390/diagnostics11071207</x:v>
      </x:c>
      <x:c r="D28" s="9" t="str">
        <x:v>https://github.com/marosanp/skin-lesion-us</x:v>
      </x:c>
      <x:c r="E28" s="9" t="str"/>
      <x:c r="F28" s="9" t="str">
        <x:v>Bibliography, ultrasound/AI task, validation design and key translational fields extracted from article/abstract/full-text sources available in the review workflow.</x:v>
      </x:c>
      <x:c r="G28" s="9" t="str">
        <x:v>High</x:v>
      </x:c>
      <x:c r="H28" s="9" t="str">
        <x:v>Code is public, but dataset and trained model package are not fully open.</x:v>
      </x:c>
    </x:row>
    <x:row r="29">
      <x:c r="A29" s="9" t="str">
        <x:v>S28</x:v>
      </x:c>
      <x:c r="B29" s="9" t="str">
        <x:v>Czajkowska et al. 2021</x:v>
      </x:c>
      <x:c r="C29" s="9" t="str">
        <x:v>https://doi.org/10.1016/j.ultras.2021.106412</x:v>
      </x:c>
      <x:c r="D29" s="9" t="str"/>
      <x:c r="E29" s="9" t="str">
        <x:v>https://data.mendeley.com/datasets/5p7fxjt7vs/1</x:v>
      </x:c>
      <x:c r="F29" s="9" t="str">
        <x:v>Bibliography, ultrasound/AI task, validation design and key translational fields extracted from article/abstract/full-text sources available in the review workflow.</x:v>
      </x:c>
      <x:c r="G29" s="9" t="str">
        <x:v>High</x:v>
      </x:c>
      <x:c r="H29" s="9" t="str">
        <x:v>Source public 380-patient inflammatory HFUS cohort used/overlapped by later publications.</x:v>
      </x:c>
    </x:row>
    <x:row r="30">
      <x:c r="A30" s="9" t="str">
        <x:v>S29</x:v>
      </x:c>
      <x:c r="B30" s="9" t="str">
        <x:v>Czajkowska et al. 2021</x:v>
      </x:c>
      <x:c r="C30" s="9" t="str">
        <x:v>https://doi.org/10.3390/s21175846</x:v>
      </x:c>
      <x:c r="D30" s="9" t="str"/>
      <x:c r="E30" s="9" t="str">
        <x:v>https://data.mendeley.com/datasets/5p7fxjt7vs/1</x:v>
      </x:c>
      <x:c r="F30" s="9" t="str">
        <x:v>Bibliography, ultrasound/AI task, validation design and key translational fields extracted from article/abstract/full-text sources available in the review workflow.</x:v>
      </x:c>
      <x:c r="G30" s="9" t="str">
        <x:v>High</x:v>
      </x:c>
      <x:c r="H30" s="9" t="str">
        <x:v>The 631-image dataset includes the public 380-image inflammatory cohort plus tumor and healthy-control images; not an independent 631-patient evidence base.</x:v>
      </x:c>
    </x:row>
    <x:row r="31">
      <x:c r="A31" s="9" t="str">
        <x:v>S30</x:v>
      </x:c>
      <x:c r="B31" s="9" t="str">
        <x:v>Jin et al. 2021</x:v>
      </x:c>
      <x:c r="C31" s="9" t="str">
        <x:v>https://doi.org/10.1177/01617346211014138</x:v>
      </x:c>
      <x:c r="D31" s="9" t="str">
        <x:v>https://github.com/fqjin/skin-segmentation</x:v>
      </x:c>
      <x:c r="E31" s="9" t="str"/>
      <x:c r="F31" s="9" t="str">
        <x:v>Bibliography, ultrasound/AI task, validation design and key translational fields extracted from article/abstract/full-text sources available in the review workflow.</x:v>
      </x:c>
      <x:c r="G31" s="9" t="str">
        <x:v>High</x:v>
      </x:c>
      <x:c r="H31" s="9" t="str">
        <x:v>Patient-level held-out testing is stronger than image-level random splitting, but remains single-cohort internal validation.</x:v>
      </x:c>
    </x:row>
    <x:row r="32">
      <x:c r="A32" s="9" t="str">
        <x:v>S31</x:v>
      </x:c>
      <x:c r="B32" s="9" t="str">
        <x:v>Chirikhina et al. 2021</x:v>
      </x:c>
      <x:c r="C32" s="9" t="str">
        <x:v>https://doi.org/10.3390/app11188714</x:v>
      </x:c>
      <x:c r="D32" s="9" t="str"/>
      <x:c r="E32" s="9" t="str"/>
      <x:c r="F32" s="9" t="str">
        <x:v>Bibliography, ultrasound/AI task, validation design and key translational fields extracted from article/abstract/full-text sources available in the review workflow.</x:v>
      </x:c>
      <x:c r="G32" s="9" t="str">
        <x:v>High</x:v>
      </x:c>
      <x:c r="H32" s="9" t="str">
        <x:v>Technical skin-characterization study rather than disease diagnosis.</x:v>
      </x:c>
    </x:row>
    <x:row r="33">
      <x:c r="A33" s="9" t="str">
        <x:v>S32</x:v>
      </x:c>
      <x:c r="B33" s="9" t="str">
        <x:v>Tiwari et al. 2020</x:v>
      </x:c>
      <x:c r="C33" s="9" t="str">
        <x:v>https://doi.org/10.3390/diagnostics10090632</x:v>
      </x:c>
      <x:c r="D33" s="9" t="str"/>
      <x:c r="E33" s="9" t="str"/>
      <x:c r="F33" s="9" t="str">
        <x:v>Bibliography, ultrasound/AI task, validation design and key translational fields extracted from article/abstract/full-text sources available in the review workflow.</x:v>
      </x:c>
      <x:c r="G33" s="9" t="str">
        <x:v>High</x:v>
      </x:c>
      <x:c r="H33" s="9" t="str">
        <x:v>Same Lithuanian investigative lineage as Andrėkutė 2016; patient overlap is possible but not confirmed, so not counted as confirmed reuse.</x:v>
      </x:c>
    </x:row>
    <x:row r="34">
      <x:c r="A34" s="9" t="str">
        <x:v>S33</x:v>
      </x:c>
      <x:c r="B34" s="9" t="str">
        <x:v>Kia et al. 2019</x:v>
      </x:c>
      <x:c r="C34" s="9" t="str">
        <x:v>https://doi.org/10.1002/acm2.12671</x:v>
      </x:c>
      <x:c r="D34" s="9" t="str"/>
      <x:c r="E34" s="9" t="str"/>
      <x:c r="F34" s="9" t="str">
        <x:v>Bibliography, ultrasound/AI task, validation design and key translational fields extracted from article/abstract/full-text sources available in the review workflow.</x:v>
      </x:c>
      <x:c r="G34" s="9" t="str">
        <x:v>High</x:v>
      </x:c>
      <x:c r="H34" s="9" t="str">
        <x:v>Historical lineage with Kia 2013 is likely, but exact patient overlap has not been confirmed.</x:v>
      </x:c>
    </x:row>
    <x:row r="35">
      <x:c r="A35" s="9" t="str">
        <x:v>S34</x:v>
      </x:c>
      <x:c r="B35" s="9" t="str">
        <x:v>Andrėkutė et al. 2016</x:v>
      </x:c>
      <x:c r="C35" s="9" t="str">
        <x:v>https://doi.org/10.1016/j.ultrasmedbio.2016.07.026</x:v>
      </x:c>
      <x:c r="D35" s="9" t="str"/>
      <x:c r="E35" s="9" t="str"/>
      <x:c r="F35" s="9" t="str">
        <x:v>Bibliography, ultrasound/AI task, validation design and key translational fields extracted from article/abstract/full-text sources available in the review workflow.</x:v>
      </x:c>
      <x:c r="G35" s="9" t="str">
        <x:v>High</x:v>
      </x:c>
      <x:c r="H35" s="9" t="str">
        <x:v>Possible cohort lineage with later Lithuanian multimodal study (Tiwari 2020) remains unresolved.</x:v>
      </x:c>
    </x:row>
    <x:row r="36">
      <x:c r="A36" s="9" t="str">
        <x:v>S35</x:v>
      </x:c>
      <x:c r="B36" s="9" t="str">
        <x:v>Kia et al. 2013</x:v>
      </x:c>
      <x:c r="C36" s="9" t="str">
        <x:v>https://doi.org/10.1007/s00521-012-0864-y</x:v>
      </x:c>
      <x:c r="D36" s="9" t="str"/>
      <x:c r="E36" s="9" t="str"/>
      <x:c r="F36" s="9" t="str">
        <x:v>Bibliography and core AI+ultrasound eligibility verified; one or more dataset/design details remain unavailable from accessible sources.</x:v>
      </x:c>
      <x:c r="G36" s="9" t="str">
        <x:v>Moderate</x:v>
      </x:c>
      <x:c r="H36" s="9" t="str">
        <x:v>Historical AI/CAD paper. Full sample/device details remain unavailable in the accessible sources used for this extraction.</x:v>
      </x:c>
    </x:row>
  </x:sheetData>
  <x:pageMargins left="0.7" right="0.7" top="0.75" bottom="0.75" header="0.3" footer="0.3"/>
  <x:tableParts count="1">
    <x:tablePart xmlns:r="http://schemas.openxmlformats.org/officeDocument/2006/relationships" r:id="Rc44781507194447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58" hidden="0" customWidth="1"/>
  </x:cols>
  <x:sheetData>
    <x:row r="1">
      <x:c r="A1" s="3" t="str">
        <x:v>Conservative metrics suitable for slide development</x:v>
      </x:c>
      <x:c r="B1" s="3"/>
      <x:c r="C1" s="3"/>
      <x:c r="D1" s="3"/>
      <x:c r="E1" s="3"/>
    </x:row>
    <x:row r="3">
      <x:c r="A3" s="27" t="str">
        <x:v>Metric</x:v>
      </x:c>
      <x:c r="B3" s="27" t="str">
        <x:v>Numerator</x:v>
      </x:c>
      <x:c r="C3" s="27" t="str">
        <x:v>Denominator</x:v>
      </x:c>
      <x:c r="D3" s="27" t="str">
        <x:v>Percentage</x:v>
      </x:c>
      <x:c r="E3" s="27" t="str">
        <x:v>Suggested slide wording</x:v>
      </x:c>
    </x:row>
    <x:row r="4">
      <x:c r="A4" t="str">
        <x:v>Strict external clinical validation</x:v>
      </x:c>
      <x:c r="B4" t="n">
        <x:f>Dashboard!B5</x:f>
        <x:v>1</x:v>
      </x:c>
      <x:c r="C4" t="n">
        <x:f>Dashboard!B4</x:f>
        <x:v>35</x:v>
      </x:c>
      <x:c r="D4" s="30" t="n">
        <x:f>B4/C4</x:f>
        <x:v>0.02857142857142857</x:v>
      </x:c>
      <x:c r="E4" t="str">
        <x:v>Strict external clinical validation</x:v>
      </x:c>
    </x:row>
    <x:row r="5">
      <x:c r="A5" t="str">
        <x:v>Prospective multicentre validation</x:v>
      </x:c>
      <x:c r="B5" t="n">
        <x:f>Dashboard!B6</x:f>
        <x:v>1</x:v>
      </x:c>
      <x:c r="C5" t="n">
        <x:f>Dashboard!B4</x:f>
        <x:v>35</x:v>
      </x:c>
      <x:c r="D5" s="30" t="n">
        <x:f>B5/C5</x:f>
        <x:v>0.02857142857142857</x:v>
      </x:c>
      <x:c r="E5" t="str">
        <x:v>Prospective multicentre validation</x:v>
      </x:c>
    </x:row>
    <x:row r="6">
      <x:c r="A6" t="str">
        <x:v>Public study-specific code/repository</x:v>
      </x:c>
      <x:c r="B6" t="n">
        <x:f>Dashboard!B10</x:f>
        <x:v>5</x:v>
      </x:c>
      <x:c r="C6" t="n">
        <x:f>Dashboard!B4</x:f>
        <x:v>35</x:v>
      </x:c>
      <x:c r="D6" s="30" t="n">
        <x:f>B6/C6</x:f>
        <x:v>0.14285714285714285</x:v>
      </x:c>
      <x:c r="E6" t="str">
        <x:v>Public study-specific code/repository identified</x:v>
      </x:c>
    </x:row>
    <x:row r="7">
      <x:c r="A7" t="str">
        <x:v>Complete open reproducibility package</x:v>
      </x:c>
      <x:c r="B7" t="n">
        <x:f>Dashboard!B11</x:f>
        <x:v>0</x:v>
      </x:c>
      <x:c r="C7" t="n">
        <x:f>Dashboard!B4</x:f>
        <x:v>35</x:v>
      </x:c>
      <x:c r="D7" s="30" t="n">
        <x:f>B7/C7</x:f>
        <x:v>0</x:v>
      </x:c>
      <x:c r="E7" t="str">
        <x:v>Complete open reproducibility package</x:v>
      </x:c>
    </x:row>
    <x:row r="8">
      <x:c r="A8" t="str">
        <x:v>Point-of-care AI workflow</x:v>
      </x:c>
      <x:c r="B8" t="n">
        <x:f>Dashboard!B14</x:f>
        <x:v>1</x:v>
      </x:c>
      <x:c r="C8" t="n">
        <x:f>Dashboard!B4</x:f>
        <x:v>35</x:v>
      </x:c>
      <x:c r="D8" s="30" t="n">
        <x:f>B8/C8</x:f>
        <x:v>0.02857142857142857</x:v>
      </x:c>
      <x:c r="E8" t="str">
        <x:v>Integrated point-of-care AI workflow demonstrated</x:v>
      </x:c>
    </x:row>
    <x:row r="9">
      <x:c r="A9" t="str">
        <x:v>Routine clinical deployment</x:v>
      </x:c>
      <x:c r="B9" t="n">
        <x:f>Dashboard!B15</x:f>
        <x:v>0</x:v>
      </x:c>
      <x:c r="C9" t="n">
        <x:f>Dashboard!B4</x:f>
        <x:v>35</x:v>
      </x:c>
      <x:c r="D9" s="30" t="n">
        <x:f>B9/C9</x:f>
        <x:v>0</x:v>
      </x:c>
      <x:c r="E9" t="str">
        <x:v>Published routine clinical deployment</x:v>
      </x:c>
    </x:row>
    <x:row r="10">
      <x:c r="A10" t="str">
        <x:v>Confirmed dataset-reuse cluster involvement</x:v>
      </x:c>
      <x:c r="B10" t="n">
        <x:f>Dashboard!B16</x:f>
        <x:v>8</x:v>
      </x:c>
      <x:c r="C10" t="n">
        <x:f>Dashboard!B4</x:f>
        <x:v>35</x:v>
      </x:c>
      <x:c r="D10" s="30" t="n">
        <x:f>B10/C10</x:f>
        <x:v>0.22857142857142856</x:v>
      </x:c>
      <x:c r="E10" t="str">
        <x:v>Studies belonging to confirmed dataset-reuse clusters</x:v>
      </x:c>
    </x:row>
    <x:row r="12">
      <x:c r="A12" s="48" t="str">
        <x:v>Use these as conservative translational metrics. Do not collapse external image-set testing, cross-device technical validation, and strict external clinical validation into one category.</x:v>
      </x:c>
      <x:c r="B12" s="48"/>
      <x:c r="C12" s="48"/>
      <x:c r="D12" s="48"/>
      <x:c r="E12" s="48"/>
    </x:row>
  </x:sheetData>
  <x:mergeCells>
    <x:mergeCell ref="A1:E1"/>
    <x:mergeCell ref="A12:E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4" hidden="0" customWidth="1"/>
    <x:col min="3" max="3" width="16" hidden="0" customWidth="1"/>
    <x:col min="4" max="4" width="72" hidden="0" customWidth="1"/>
    <x:col min="5" max="5" width="4" hidden="0" customWidth="1"/>
    <x:col min="6" max="6" width="42" hidden="0" customWidth="1"/>
    <x:col min="7" max="7" width="14" hidden="0" customWidth="1"/>
    <x:col min="8" max="8" width="14" hidden="0" customWidth="1"/>
  </x:cols>
  <x:sheetData>
    <x:row r="1" ht="28" customHeight="1">
      <x:c r="A1" s="52" t="str">
        <x:v>CORE CLINICAL SUBSET — Translational Evidence</x:v>
      </x:c>
      <x:c r="B1" s="52"/>
      <x:c r="C1" s="52"/>
      <x:c r="D1" s="52"/>
      <x:c r="E1" s="52"/>
      <x:c r="F1" s="52"/>
      <x:c r="G1" s="52"/>
      <x:c r="H1" s="52"/>
    </x:row>
    <x:row r="3">
      <x:c r="A3" s="55" t="str">
        <x:v>Metric</x:v>
      </x:c>
      <x:c r="B3" s="55" t="str">
        <x:v>Count</x:v>
      </x:c>
      <x:c r="C3" s="55" t="str">
        <x:v>% of core clinical</x:v>
      </x:c>
      <x:c r="D3" s="55" t="str">
        <x:v>Interpretation</x:v>
      </x:c>
      <x:c r="F3" s="54" t="str">
        <x:v>Whole field vs core clinical</x:v>
      </x:c>
      <x:c r="G3" s="54"/>
      <x:c r="H3" s="54"/>
    </x:row>
    <x:row r="4">
      <x:c r="A4" s="8" t="str">
        <x:v>Core clinical studies</x:v>
      </x:c>
      <x:c r="B4" s="9" t="n">
        <x:f>COUNTIF(Master_Extraction!$G$2:$G$100,"Core clinical")</x:f>
        <x:v>23</x:v>
      </x:c>
      <x:c r="C4" s="33" t="n">
        <x:f>B4/B4</x:f>
        <x:v>1</x:v>
      </x:c>
      <x:c r="D4" s="9" t="str">
        <x:v>Disease-oriented diagnostic/staging studies; technical/workflow, aesthetic, aging and cutaneous-metabolic studies excluded.</x:v>
      </x:c>
      <x:c r="F4" s="57" t="str">
        <x:v>Indicator</x:v>
      </x:c>
      <x:c r="G4" s="57" t="str">
        <x:v>All n=35</x:v>
      </x:c>
      <x:c r="H4" s="57" t="str">
        <x:v>Core clinical</x:v>
      </x:c>
    </x:row>
    <x:row r="5">
      <x:c r="A5" s="8" t="str">
        <x:v>Strict external clinical validation</x:v>
      </x:c>
      <x:c r="B5" s="9" t="n">
        <x:f>COUNTIFS(Master_Extraction!$G$2:$G$100,"Core clinical",Master_Extraction!$Y$2:$Y$100,"Yes")</x:f>
        <x:v>1</x:v>
      </x:c>
      <x:c r="C5" s="33" t="n">
        <x:f>B5/$B$4</x:f>
        <x:v>0.043478260869565216</x:v>
      </x:c>
      <x:c r="D5" s="9" t="str">
        <x:v>Independent clinical cohort from different centre(s), evaluating the same clinical task.</x:v>
      </x:c>
      <x:c r="F5" t="str">
        <x:v>Strict external clinical validation</x:v>
      </x:c>
      <x:c r="G5" t="n">
        <x:f>Dashboard!B5</x:f>
        <x:v>1</x:v>
      </x:c>
      <x:c r="H5" t="n">
        <x:f>B5</x:f>
        <x:v>1</x:v>
      </x:c>
    </x:row>
    <x:row r="6">
      <x:c r="A6" s="8" t="str">
        <x:v>Prospective multicentre validation</x:v>
      </x:c>
      <x:c r="B6" s="9" t="n">
        <x:f>COUNTIFS(Master_Extraction!$G$2:$G$100,"Core clinical",Master_Extraction!$Z$2:$Z$100,"Yes")</x:f>
        <x:v>1</x:v>
      </x:c>
      <x:c r="C6" s="33" t="n">
        <x:f>B6/$B$4</x:f>
        <x:v>0.043478260869565216</x:v>
      </x:c>
      <x:c r="D6" s="9" t="str">
        <x:v>Prospectively evaluated across multiple clinical centres after model development.</x:v>
      </x:c>
      <x:c r="F6" t="str">
        <x:v>Prospective multicentre validation</x:v>
      </x:c>
      <x:c r="G6" t="n">
        <x:f>Dashboard!B6</x:f>
        <x:v>1</x:v>
      </x:c>
      <x:c r="H6" t="n">
        <x:f>B6</x:f>
        <x:v>1</x:v>
      </x:c>
    </x:row>
    <x:row r="7">
      <x:c r="A7" s="8" t="str">
        <x:v>Multisite data / evaluation</x:v>
      </x:c>
      <x:c r="B7" s="9" t="n">
        <x:f>COUNTIFS(Master_Extraction!$G$2:$G$100,"Core clinical",Master_Extraction!$Q$2:$Q$100,"Yes")</x:f>
        <x:v>1</x:v>
      </x:c>
      <x:c r="C7" s="33" t="n">
        <x:f>B7/$B$4</x:f>
        <x:v>0.043478260869565216</x:v>
      </x:c>
      <x:c r="D7" s="9" t="str">
        <x:v>Any clearly multisite core-clinical study; broader than strict external validation.</x:v>
      </x:c>
      <x:c r="F7" t="str">
        <x:v>Public code/repository</x:v>
      </x:c>
      <x:c r="G7" t="n">
        <x:f>Dashboard!B10</x:f>
        <x:v>5</x:v>
      </x:c>
      <x:c r="H7" t="n">
        <x:f>B10</x:f>
        <x:v>4</x:v>
      </x:c>
    </x:row>
    <x:row r="8">
      <x:c r="A8" s="8" t="str">
        <x:v>External image-set test</x:v>
      </x:c>
      <x:c r="B8" s="9" t="n">
        <x:f>COUNTIFS(Master_Extraction!$G$2:$G$100,"Core clinical",Master_Extraction!$W$2:$W$100,"Yes")</x:f>
        <x:v>3</x:v>
      </x:c>
      <x:c r="C8" s="33" t="n">
        <x:f>B8/$B$4</x:f>
        <x:v>0.13043478260869565</x:v>
      </x:c>
      <x:c r="D8" s="9" t="str">
        <x:v>External image set only; not necessarily an independent clinical cohort.</x:v>
      </x:c>
      <x:c r="F8" t="str">
        <x:v>Complete reproducibility package</x:v>
      </x:c>
      <x:c r="G8" t="n">
        <x:f>Dashboard!B11</x:f>
        <x:v>0</x:v>
      </x:c>
      <x:c r="H8" t="n">
        <x:f>B11</x:f>
        <x:v>0</x:v>
      </x:c>
    </x:row>
    <x:row r="9">
      <x:c r="A9" s="8" t="str">
        <x:v>Cross-centre/device technical validation</x:v>
      </x:c>
      <x:c r="B9" s="9" t="n">
        <x:f>COUNTIFS(Master_Extraction!$G$2:$G$100,"Core clinical",Master_Extraction!$X$2:$X$100,"Yes")</x:f>
        <x:v>1</x:v>
      </x:c>
      <x:c r="C9" s="33" t="n">
        <x:f>B9/$B$4</x:f>
        <x:v>0.043478260869565216</x:v>
      </x:c>
      <x:c r="D9" s="9" t="str">
        <x:v>Technical transportability across centres/devices; distinct from clinical external validation.</x:v>
      </x:c>
      <x:c r="F9" t="str">
        <x:v>Point-of-care workflow</x:v>
      </x:c>
      <x:c r="G9" t="n">
        <x:f>Dashboard!B14</x:f>
        <x:v>1</x:v>
      </x:c>
      <x:c r="H9" t="n">
        <x:f>B14</x:f>
        <x:v>0</x:v>
      </x:c>
    </x:row>
    <x:row r="10">
      <x:c r="A10" s="8" t="str">
        <x:v>Public study-specific code/repository</x:v>
      </x:c>
      <x:c r="B10" s="9" t="n">
        <x:f>COUNTIFS(Master_Extraction!$G$2:$G$100,"Core clinical",Master_Extraction!$AB$2:$AB$100,"Yes")</x:f>
        <x:v>4</x:v>
      </x:c>
      <x:c r="C10" s="33" t="n">
        <x:f>B10/$B$4</x:f>
        <x:v>0.17391304347826086</x:v>
      </x:c>
      <x:c r="D10" s="9" t="str">
        <x:v>A study-specific public repository was identified; completeness assessed separately.</x:v>
      </x:c>
      <x:c r="F10" t="str">
        <x:v>Routine clinical deployment</x:v>
      </x:c>
      <x:c r="G10" t="n">
        <x:f>Dashboard!B15</x:f>
        <x:v>0</x:v>
      </x:c>
      <x:c r="H10" t="n">
        <x:f>B15</x:f>
        <x:v>0</x:v>
      </x:c>
    </x:row>
    <x:row r="11">
      <x:c r="A11" s="8" t="str">
        <x:v>Complete open reproducibility package</x:v>
      </x:c>
      <x:c r="B11" s="9" t="n">
        <x:f>COUNTIFS(Master_Extraction!$G$2:$G$100,"Core clinical",Master_Extraction!$AB$2:$AB$100,"Yes",Master_Extraction!$AD$2:$AD$100,"Yes",Master_Extraction!$AE$2:$AE$100,"Yes")</x:f>
        <x:v>0</x:v>
      </x:c>
      <x:c r="C11" s="33" t="n">
        <x:f>B11/$B$4</x:f>
        <x:v>0</x:v>
      </x:c>
      <x:c r="D11" s="9" t="str">
        <x:v>Requires study-specific code + trained model/weights + study-specific evaluation data.</x:v>
      </x:c>
      <x:c r="F11" t="str">
        <x:v>Confirmed reuse-cluster involvement</x:v>
      </x:c>
      <x:c r="G11" t="n">
        <x:f>Dashboard!B16</x:f>
        <x:v>8</x:v>
      </x:c>
      <x:c r="H11" t="n">
        <x:f>B16</x:f>
        <x:v>6</x:v>
      </x:c>
    </x:row>
    <x:row r="12">
      <x:c r="A12" s="8" t="str">
        <x:v>Study-specific full data public</x:v>
      </x:c>
      <x:c r="B12" s="9" t="n">
        <x:f>COUNTIFS(Master_Extraction!$G$2:$G$100,"Core clinical",Master_Extraction!$AE$2:$AE$100,"Yes")</x:f>
        <x:v>5</x:v>
      </x:c>
      <x:c r="C12" s="33" t="n">
        <x:f>B12/$B$4</x:f>
        <x:v>0.21739130434782608</x:v>
      </x:c>
      <x:c r="D12" s="9" t="str">
        <x:v>Full study analysis dataset openly accessible.</x:v>
      </x:c>
    </x:row>
    <x:row r="13">
      <x:c r="A13" s="8" t="str">
        <x:v>Human comparator</x:v>
      </x:c>
      <x:c r="B13" s="9" t="n">
        <x:f>COUNTIFS(Master_Extraction!$G$2:$G$100,"Core clinical",Master_Extraction!$AA$2:$AA$100,"Yes")</x:f>
        <x:v>3</x:v>
      </x:c>
      <x:c r="C13" s="33" t="n">
        <x:f>B13/$B$4</x:f>
        <x:v>0.13043478260869565</x:v>
      </x:c>
      <x:c r="D13" s="9" t="str">
        <x:v>Direct comparison with dermatologist/expert/manual assessment.</x:v>
      </x:c>
      <x:c r="F13" s="59" t="str">
        <x:v>Interpretive takeaway</x:v>
      </x:c>
      <x:c r="G13" s="59"/>
      <x:c r="H13" s="59"/>
    </x:row>
    <x:row r="14">
      <x:c r="A14" s="8" t="str">
        <x:v>Point-of-care AI workflow</x:v>
      </x:c>
      <x:c r="B14" s="9" t="n">
        <x:f>COUNTIFS(Master_Extraction!$G$2:$G$100,"Core clinical",Master_Extraction!$AJ$2:$AJ$100,"Yes")</x:f>
        <x:v>0</x:v>
      </x:c>
      <x:c r="C14" s="33" t="n">
        <x:f>B14/$B$4</x:f>
        <x:v>0</x:v>
      </x:c>
      <x:c r="D14" s="9" t="str">
        <x:v>AI integrated into a real-time or near-real-time clinical ultrasound workflow.</x:v>
      </x:c>
      <x:c r="F14" s="9" t="str">
        <x:v>Restricting the evidence base to disease-oriented clinical studies removes technical, cosmetic and physiology applications without resolving the central translational gap. For the main clinical-readiness slide, the core-clinical denominator is the most defensible.</x:v>
      </x:c>
      <x:c r="G14" s="9"/>
      <x:c r="H14" s="9"/>
    </x:row>
    <x:row r="15">
      <x:c r="A15" s="8" t="str">
        <x:v>Routine clinical deployment</x:v>
      </x:c>
      <x:c r="B15" s="9" t="n">
        <x:f>COUNTIFS(Master_Extraction!$G$2:$G$100,"Core clinical",Master_Extraction!$AK$2:$AK$100,"Yes")</x:f>
        <x:v>0</x:v>
      </x:c>
      <x:c r="C15" s="33" t="n">
        <x:f>B15/$B$4</x:f>
        <x:v>0</x:v>
      </x:c>
      <x:c r="D15" s="9" t="str">
        <x:v>Published evidence of routine use beyond a research study.</x:v>
      </x:c>
      <x:c r="F15" s="9"/>
      <x:c r="G15" s="9"/>
      <x:c r="H15" s="9"/>
    </x:row>
    <x:row r="16">
      <x:c r="A16" s="8" t="str">
        <x:v>Core-clinical studies in confirmed reuse clusters</x:v>
      </x:c>
      <x:c r="B16" s="9" t="n">
        <x:f>COUNTIFS(Master_Extraction!$G$2:$G$100,"Core clinical",Master_Extraction!$AH$2:$AH$100,"Laverde_Kaggle")+COUNTIFS(Master_Extraction!$G$2:$G$100,"Core clinical",Master_Extraction!$AH$2:$AH$100,"AK_Mendeley")+COUNTIFS(Master_Extraction!$G$2:$G$100,"Core clinical",Master_Extraction!$AH$2:$AH$100,"Polish_75MHz")</x:f>
        <x:v>6</x:v>
      </x:c>
      <x:c r="C16" s="33" t="n">
        <x:f>B16/$B$4</x:f>
        <x:v>0.2608695652173913</x:v>
      </x:c>
      <x:c r="D16" s="9" t="str">
        <x:v>Only directly confirmed dataset-reuse clusters are counted.</x:v>
      </x:c>
      <x:c r="F16" s="9"/>
      <x:c r="G16" s="9"/>
      <x:c r="H16" s="9"/>
    </x:row>
    <x:row r="17">
      <x:c r="A17" s="8" t="str">
        <x:v>Known non-independent / overlapping core publications</x:v>
      </x:c>
      <x:c r="B17" s="9" t="n">
        <x:f>COUNTIFS(Master_Extraction!$G$2:$G$100,"Core clinical",Master_Extraction!$AI$2:$AI$100,"No")</x:f>
        <x:v>4</x:v>
      </x:c>
      <x:c r="C17" s="33" t="n">
        <x:f>B17/$B$4</x:f>
        <x:v>0.17391304347826086</x:v>
      </x:c>
      <x:c r="D17" s="9" t="str">
        <x:v>Reanalysis or known partial/expanded overlap with another publication.</x:v>
      </x:c>
      <x:c r="F17" s="9"/>
      <x:c r="G17" s="9"/>
      <x:c r="H17" s="9"/>
    </x:row>
    <x:row r="18">
      <x:c r="F18" s="9"/>
      <x:c r="G18" s="9"/>
      <x:c r="H18" s="9"/>
    </x:row>
    <x:row r="19">
      <x:c r="F19" s="9"/>
      <x:c r="G19" s="9"/>
      <x:c r="H19" s="9"/>
    </x:row>
  </x:sheetData>
  <x:mergeCells>
    <x:mergeCell ref="A1:H1"/>
    <x:mergeCell ref="F3:H3"/>
    <x:mergeCell ref="F13:H13"/>
    <x:mergeCell ref="F14:H1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4" hidden="0" customWidth="1"/>
    <x:col min="3" max="3" width="14" hidden="0" customWidth="1"/>
    <x:col min="4" max="4" width="14" hidden="0" customWidth="1"/>
    <x:col min="5" max="5" width="62" hidden="0" customWidth="1"/>
  </x:cols>
  <x:sheetData>
    <x:row r="1">
      <x:c r="A1" s="60" t="str">
        <x:v>Core-clinical metrics suitable for presentation</x:v>
      </x:c>
      <x:c r="B1" s="60"/>
      <x:c r="C1" s="60"/>
      <x:c r="D1" s="60"/>
      <x:c r="E1" s="60"/>
    </x:row>
    <x:row r="3">
      <x:c r="A3" s="54" t="str">
        <x:v>Metric</x:v>
      </x:c>
      <x:c r="B3" s="54" t="str">
        <x:v>Numerator</x:v>
      </x:c>
      <x:c r="C3" s="54" t="str">
        <x:v>Denominator</x:v>
      </x:c>
      <x:c r="D3" s="54" t="str">
        <x:v>Percentage</x:v>
      </x:c>
      <x:c r="E3" s="54" t="str">
        <x:v>Slide-safe wording</x:v>
      </x:c>
    </x:row>
    <x:row r="4">
      <x:c r="A4" t="str">
        <x:v>Strict external clinical validation</x:v>
      </x:c>
      <x:c r="B4" t="n">
        <x:f>Core_Clinical_Dashboard!B5</x:f>
        <x:v>1</x:v>
      </x:c>
      <x:c r="C4" t="n">
        <x:f>Core_Clinical_Dashboard!B4</x:f>
        <x:v>23</x:v>
      </x:c>
      <x:c r="D4" s="30" t="n">
        <x:f>B4/C4</x:f>
        <x:v>0.043478260869565216</x:v>
      </x:c>
      <x:c r="E4" t="str">
        <x:v>Strict external clinical validation</x:v>
      </x:c>
    </x:row>
    <x:row r="5">
      <x:c r="A5" t="str">
        <x:v>Prospective multicentre validation</x:v>
      </x:c>
      <x:c r="B5" t="n">
        <x:f>Core_Clinical_Dashboard!B6</x:f>
        <x:v>1</x:v>
      </x:c>
      <x:c r="C5" t="n">
        <x:f>Core_Clinical_Dashboard!B4</x:f>
        <x:v>23</x:v>
      </x:c>
      <x:c r="D5" s="30" t="n">
        <x:f>B5/C5</x:f>
        <x:v>0.043478260869565216</x:v>
      </x:c>
      <x:c r="E5" t="str">
        <x:v>Prospective multicentre validation</x:v>
      </x:c>
    </x:row>
    <x:row r="6">
      <x:c r="A6" t="str">
        <x:v>Public study-specific code/repository</x:v>
      </x:c>
      <x:c r="B6" t="n">
        <x:f>Core_Clinical_Dashboard!B10</x:f>
        <x:v>4</x:v>
      </x:c>
      <x:c r="C6" t="n">
        <x:f>Core_Clinical_Dashboard!B4</x:f>
        <x:v>23</x:v>
      </x:c>
      <x:c r="D6" s="30" t="n">
        <x:f>B6/C6</x:f>
        <x:v>0.17391304347826086</x:v>
      </x:c>
      <x:c r="E6" t="str">
        <x:v>Public study-specific code/repository identified</x:v>
      </x:c>
    </x:row>
    <x:row r="7">
      <x:c r="A7" t="str">
        <x:v>Complete open reproducibility package</x:v>
      </x:c>
      <x:c r="B7" t="n">
        <x:f>Core_Clinical_Dashboard!B11</x:f>
        <x:v>0</x:v>
      </x:c>
      <x:c r="C7" t="n">
        <x:f>Core_Clinical_Dashboard!B4</x:f>
        <x:v>23</x:v>
      </x:c>
      <x:c r="D7" s="30" t="n">
        <x:f>B7/C7</x:f>
        <x:v>0</x:v>
      </x:c>
      <x:c r="E7" t="str">
        <x:v>Complete open reproducibility package</x:v>
      </x:c>
    </x:row>
    <x:row r="8">
      <x:c r="A8" t="str">
        <x:v>Study-specific full data public</x:v>
      </x:c>
      <x:c r="B8" t="n">
        <x:f>Core_Clinical_Dashboard!B12</x:f>
        <x:v>5</x:v>
      </x:c>
      <x:c r="C8" t="n">
        <x:f>Core_Clinical_Dashboard!B4</x:f>
        <x:v>23</x:v>
      </x:c>
      <x:c r="D8" s="30" t="n">
        <x:f>B8/C8</x:f>
        <x:v>0.21739130434782608</x:v>
      </x:c>
      <x:c r="E8" t="str">
        <x:v>Full study-specific dataset publicly available</x:v>
      </x:c>
    </x:row>
    <x:row r="9">
      <x:c r="A9" t="str">
        <x:v>Human comparator</x:v>
      </x:c>
      <x:c r="B9" t="n">
        <x:f>Core_Clinical_Dashboard!B13</x:f>
        <x:v>3</x:v>
      </x:c>
      <x:c r="C9" t="n">
        <x:f>Core_Clinical_Dashboard!B4</x:f>
        <x:v>23</x:v>
      </x:c>
      <x:c r="D9" s="30" t="n">
        <x:f>B9/C9</x:f>
        <x:v>0.13043478260869565</x:v>
      </x:c>
      <x:c r="E9" t="str">
        <x:v>Direct human/expert comparator</x:v>
      </x:c>
    </x:row>
    <x:row r="10">
      <x:c r="A10" t="str">
        <x:v>Point-of-care AI workflow</x:v>
      </x:c>
      <x:c r="B10" t="n">
        <x:f>Core_Clinical_Dashboard!B14</x:f>
        <x:v>0</x:v>
      </x:c>
      <x:c r="C10" t="n">
        <x:f>Core_Clinical_Dashboard!B4</x:f>
        <x:v>23</x:v>
      </x:c>
      <x:c r="D10" s="30" t="n">
        <x:f>B10/C10</x:f>
        <x:v>0</x:v>
      </x:c>
      <x:c r="E10" t="str">
        <x:v>Integrated point-of-care AI workflow</x:v>
      </x:c>
    </x:row>
    <x:row r="11">
      <x:c r="A11" t="str">
        <x:v>Routine clinical deployment</x:v>
      </x:c>
      <x:c r="B11" t="n">
        <x:f>Core_Clinical_Dashboard!B15</x:f>
        <x:v>0</x:v>
      </x:c>
      <x:c r="C11" t="n">
        <x:f>Core_Clinical_Dashboard!B4</x:f>
        <x:v>23</x:v>
      </x:c>
      <x:c r="D11" s="30" t="n">
        <x:f>B11/C11</x:f>
        <x:v>0</x:v>
      </x:c>
      <x:c r="E11" t="str">
        <x:v>Published routine clinical deployment</x:v>
      </x:c>
    </x:row>
    <x:row r="12">
      <x:c r="A12" t="str">
        <x:v>Confirmed dataset-reuse cluster involvement</x:v>
      </x:c>
      <x:c r="B12" t="n">
        <x:f>Core_Clinical_Dashboard!B16</x:f>
        <x:v>6</x:v>
      </x:c>
      <x:c r="C12" t="n">
        <x:f>Core_Clinical_Dashboard!B4</x:f>
        <x:v>23</x:v>
      </x:c>
      <x:c r="D12" s="30" t="n">
        <x:f>B12/C12</x:f>
        <x:v>0.2608695652173913</x:v>
      </x:c>
      <x:c r="E12" t="str">
        <x:v>Studies belonging to confirmed dataset-reuse clusters</x:v>
      </x:c>
    </x:row>
    <x:row r="14">
      <x:c r="A14" s="63" t="str">
        <x:v>Recommended presentation denominator: core clinical studies. Use n=35 only to describe the entire field.</x:v>
      </x:c>
      <x:c r="B14" s="63"/>
      <x:c r="C14" s="63"/>
      <x:c r="D14" s="63"/>
      <x:c r="E14" s="63"/>
    </x:row>
  </x:sheetData>
  <x:mergeCells>
    <x:mergeCell ref="A1:E1"/>
    <x:mergeCell ref="A14:E1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</x:cols>
  <x:sheetData>
    <x:row r="1">
      <x:c r="A1" s="60" t="str">
        <x:v>Core clinical study index</x:v>
      </x:c>
      <x:c r="B1" s="60"/>
      <x:c r="C1" s="60"/>
      <x:c r="D1" s="60"/>
      <x:c r="E1" s="60"/>
    </x:row>
    <x:row r="3">
      <x:c r="A3" s="6" t="str">
        <x:v>Master sheet</x:v>
      </x:c>
      <x:c r="B3" t="str">
        <x:v>Master_Extraction</x:v>
      </x:c>
    </x:row>
    <x:row r="4">
      <x:c r="A4" s="6" t="str">
        <x:v>Filter column</x:v>
      </x:c>
      <x:c r="B4" t="str">
        <x:v>Scope</x:v>
      </x:c>
    </x:row>
    <x:row r="5">
      <x:c r="A5" s="6" t="str">
        <x:v>Filter value</x:v>
      </x:c>
      <x:c r="B5" t="str">
        <x:v>Core clinical</x:v>
      </x:c>
    </x:row>
    <x:row r="6">
      <x:c r="A6" s="6" t="str">
        <x:v>Expected count</x:v>
      </x:c>
      <x:c r="B6" t="n">
        <x:f>Core_Clinical_Dashboard!B4</x:f>
        <x:v>23</x:v>
      </x:c>
    </x:row>
    <x:row r="7">
      <x:c r="A7" s="6" t="str">
        <x:v>Use</x:v>
      </x:c>
      <x:c r="B7" t="str">
        <x:v>Row-level audit of all core-clinical studies</x:v>
      </x:c>
    </x:row>
  </x:sheetData>
  <x:mergeCells>
    <x:mergeCell ref="A1:E1"/>
  </x:mergeCells>
  <x:pageMargins left="0.7" right="0.7" top="0.75" bottom="0.75" header="0.3" footer="0.3"/>
</x:worksheet>
</file>